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https://cpgplc-my.sharepoint.com/personal/madhan_b_thesmartq_com/Documents/Madhan/Power Bi/SmartQ_LPG/Updated_LPG/Support Document/"/>
    </mc:Choice>
  </mc:AlternateContent>
  <xr:revisionPtr revIDLastSave="0" documentId="8_{338516E6-9715-4BBE-A087-2CFE5597EDCA}" xr6:coauthVersionLast="47" xr6:coauthVersionMax="47" xr10:uidLastSave="{00000000-0000-0000-0000-000000000000}"/>
  <bookViews>
    <workbookView xWindow="-110" yWindow="-110" windowWidth="19420" windowHeight="10300" firstSheet="1" activeTab="1" xr2:uid="{5CCA0532-4B0A-45F1-999D-D089B1DF9A89}"/>
  </bookViews>
  <sheets>
    <sheet name="Master Vendor Data" sheetId="1" r:id="rId1"/>
    <sheet name="Master Client Data" sheetId="4" r:id="rId2"/>
    <sheet name="OLD Master Client Data" sheetId="2" state="hidden" r:id="rId3"/>
  </sheets>
  <definedNames>
    <definedName name="_xlnm._FilterDatabase" localSheetId="2" hidden="1">'OLD Master Client Data'!$A$1:$L$146</definedName>
    <definedName name="_xlnm._FilterDatabase" localSheetId="1" hidden="1">'Master Client Data'!$A$1:$K$430</definedName>
    <definedName name="_xlnm._FilterDatabase" localSheetId="0" hidden="1">'Master Vendor Data'!$A$1:$Q$260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0" i="4" l="1" a="1"/>
  <c r="A430" i="4" s="1"/>
  <c r="A429" i="4" a="1"/>
  <c r="A429" i="4" s="1"/>
  <c r="A428" i="4" a="1"/>
  <c r="A428" i="4" s="1"/>
  <c r="A427" i="4" a="1"/>
  <c r="A427" i="4" s="1"/>
  <c r="A426" i="4" a="1"/>
  <c r="A426" i="4" s="1"/>
  <c r="A425" i="4" a="1"/>
  <c r="A425" i="4" s="1"/>
  <c r="A424" i="4" a="1"/>
  <c r="A424" i="4" s="1"/>
  <c r="A423" i="4" a="1"/>
  <c r="A423" i="4" s="1"/>
  <c r="A422" i="4" a="1"/>
  <c r="A422" i="4" s="1"/>
  <c r="A421" i="4" a="1"/>
  <c r="A421" i="4" s="1"/>
  <c r="A420" i="4" a="1"/>
  <c r="A420" i="4" s="1"/>
  <c r="A419" i="4" a="1"/>
  <c r="A419" i="4" s="1"/>
  <c r="A418" i="4" a="1"/>
  <c r="A418" i="4" s="1"/>
  <c r="A417" i="4" a="1"/>
  <c r="A417" i="4" s="1"/>
  <c r="A416" i="4" a="1"/>
  <c r="A416" i="4" s="1"/>
  <c r="A415" i="4" a="1"/>
  <c r="A415" i="4" s="1"/>
  <c r="A414" i="4" a="1"/>
  <c r="A414" i="4" s="1"/>
  <c r="A413" i="4" a="1"/>
  <c r="A413" i="4" s="1"/>
  <c r="A412" i="4" a="1"/>
  <c r="A412" i="4" s="1"/>
  <c r="A411" i="4" a="1"/>
  <c r="A411" i="4" s="1"/>
  <c r="A410" i="4" a="1"/>
  <c r="A410" i="4" s="1"/>
  <c r="A409" i="4" a="1"/>
  <c r="A409" i="4" s="1"/>
  <c r="A408" i="4" a="1"/>
  <c r="A408" i="4" s="1"/>
  <c r="A407" i="4" a="1"/>
  <c r="A407" i="4" s="1"/>
  <c r="A406" i="4" a="1"/>
  <c r="A406" i="4" s="1"/>
  <c r="A405" i="4" a="1"/>
  <c r="A405" i="4" s="1"/>
  <c r="A404" i="4" a="1"/>
  <c r="A404" i="4" s="1"/>
  <c r="A403" i="4" a="1"/>
  <c r="A403" i="4" s="1"/>
  <c r="A402" i="4" a="1"/>
  <c r="A402" i="4" s="1"/>
  <c r="A401" i="4" a="1"/>
  <c r="A401" i="4" s="1"/>
  <c r="A400" i="4" a="1"/>
  <c r="A400" i="4" s="1"/>
  <c r="A399" i="4" a="1"/>
  <c r="A399" i="4" s="1"/>
  <c r="A398" i="4" a="1"/>
  <c r="A398" i="4" s="1"/>
  <c r="A397" i="4" a="1"/>
  <c r="A397" i="4" s="1"/>
  <c r="A396" i="4" a="1"/>
  <c r="A396" i="4" s="1"/>
  <c r="A395" i="4" a="1"/>
  <c r="A395" i="4" s="1"/>
  <c r="A394" i="4" a="1"/>
  <c r="A394" i="4" s="1"/>
  <c r="A393" i="4" a="1"/>
  <c r="A393" i="4" s="1"/>
  <c r="A392" i="4" a="1"/>
  <c r="A392" i="4" s="1"/>
  <c r="A391" i="4" a="1"/>
  <c r="A391" i="4" s="1"/>
  <c r="A390" i="4" a="1"/>
  <c r="A390" i="4" s="1"/>
  <c r="A389" i="4" a="1"/>
  <c r="A389" i="4" s="1"/>
  <c r="A388" i="4" a="1"/>
  <c r="A388" i="4" s="1"/>
  <c r="A387" i="4" a="1"/>
  <c r="A387" i="4" s="1"/>
  <c r="A386" i="4" a="1"/>
  <c r="A386" i="4" s="1"/>
  <c r="A385" i="4" a="1"/>
  <c r="A385" i="4" s="1"/>
  <c r="A384" i="4" a="1"/>
  <c r="A384" i="4" s="1"/>
  <c r="A383" i="4" a="1"/>
  <c r="A383" i="4" s="1"/>
  <c r="A382" i="4" a="1"/>
  <c r="A382" i="4" s="1"/>
  <c r="A381" i="4" a="1"/>
  <c r="A381" i="4" s="1"/>
  <c r="A380" i="4" a="1"/>
  <c r="A380" i="4" s="1"/>
  <c r="A379" i="4" a="1"/>
  <c r="A379" i="4" s="1"/>
  <c r="A378" i="4" a="1"/>
  <c r="A378" i="4" s="1"/>
  <c r="A377" i="4" a="1"/>
  <c r="A377" i="4" s="1"/>
  <c r="A376" i="4" a="1"/>
  <c r="A376" i="4" s="1"/>
  <c r="A375" i="4" a="1"/>
  <c r="A375" i="4" s="1"/>
  <c r="A374" i="4" a="1"/>
  <c r="A374" i="4" s="1"/>
  <c r="A373" i="4" a="1"/>
  <c r="A373" i="4" s="1"/>
  <c r="A372" i="4" a="1"/>
  <c r="A372" i="4" s="1"/>
  <c r="A371" i="4" a="1"/>
  <c r="A371" i="4" s="1"/>
  <c r="A370" i="4" a="1"/>
  <c r="A370" i="4" s="1"/>
  <c r="A369" i="4" a="1"/>
  <c r="A369" i="4" s="1"/>
  <c r="A368" i="4" a="1"/>
  <c r="A368" i="4" s="1"/>
  <c r="A367" i="4" a="1"/>
  <c r="A367" i="4" s="1"/>
  <c r="A366" i="4" a="1"/>
  <c r="A366" i="4" s="1"/>
  <c r="A365" i="4" a="1"/>
  <c r="A365" i="4" s="1"/>
  <c r="A364" i="4" a="1"/>
  <c r="A364" i="4" s="1"/>
  <c r="A363" i="4" a="1"/>
  <c r="A363" i="4" s="1"/>
  <c r="A362" i="4" a="1"/>
  <c r="A362" i="4" s="1"/>
  <c r="A361" i="4" a="1"/>
  <c r="A361" i="4" s="1"/>
  <c r="A360" i="4" a="1"/>
  <c r="A360" i="4" s="1"/>
  <c r="A359" i="4" a="1"/>
  <c r="A359" i="4" s="1"/>
  <c r="A358" i="4" a="1"/>
  <c r="A358" i="4" s="1"/>
  <c r="A357" i="4" a="1"/>
  <c r="A357" i="4" s="1"/>
  <c r="A356" i="4" a="1"/>
  <c r="A356" i="4" s="1"/>
  <c r="A355" i="4" a="1"/>
  <c r="A355" i="4" s="1"/>
  <c r="A354" i="4" a="1"/>
  <c r="A354" i="4" s="1"/>
  <c r="A353" i="4" a="1"/>
  <c r="A353" i="4" s="1"/>
  <c r="A352" i="4" a="1"/>
  <c r="A352" i="4" s="1"/>
  <c r="A351" i="4" a="1"/>
  <c r="A351" i="4" s="1"/>
  <c r="A350" i="4" a="1"/>
  <c r="A350" i="4" s="1"/>
  <c r="A349" i="4" a="1"/>
  <c r="A349" i="4" s="1"/>
  <c r="A348" i="4" a="1"/>
  <c r="A348" i="4" s="1"/>
  <c r="A347" i="4" a="1"/>
  <c r="A347" i="4" s="1"/>
  <c r="A346" i="4" a="1"/>
  <c r="A346" i="4" s="1"/>
  <c r="A345" i="4" a="1"/>
  <c r="A345" i="4" s="1"/>
  <c r="A344" i="4" a="1"/>
  <c r="A344" i="4" s="1"/>
  <c r="A343" i="4" a="1"/>
  <c r="A343" i="4" s="1"/>
  <c r="A342" i="4" a="1"/>
  <c r="A342" i="4" s="1"/>
  <c r="A341" i="4" a="1"/>
  <c r="A341" i="4" s="1"/>
  <c r="A340" i="4" a="1"/>
  <c r="A340" i="4" s="1"/>
  <c r="A339" i="4" a="1"/>
  <c r="A339" i="4" s="1"/>
  <c r="A338" i="4" a="1"/>
  <c r="A338" i="4" s="1"/>
  <c r="A337" i="4" a="1"/>
  <c r="A337" i="4" s="1"/>
  <c r="A336" i="4" a="1"/>
  <c r="A336" i="4" s="1"/>
  <c r="A335" i="4" a="1"/>
  <c r="A335" i="4" s="1"/>
  <c r="A334" i="4" a="1"/>
  <c r="A334" i="4" s="1"/>
  <c r="A333" i="4" a="1"/>
  <c r="A333" i="4" s="1"/>
  <c r="A332" i="4" a="1"/>
  <c r="A332" i="4" s="1"/>
  <c r="A331" i="4" a="1"/>
  <c r="A331" i="4" s="1"/>
  <c r="A330" i="4" a="1"/>
  <c r="A330" i="4" s="1"/>
  <c r="A329" i="4" a="1"/>
  <c r="A329" i="4" s="1"/>
  <c r="A328" i="4" a="1"/>
  <c r="A328" i="4" s="1"/>
  <c r="A327" i="4" a="1"/>
  <c r="A327" i="4" s="1"/>
  <c r="A326" i="4" a="1"/>
  <c r="A326" i="4" s="1"/>
  <c r="A325" i="4" a="1"/>
  <c r="A325" i="4" s="1"/>
  <c r="A324" i="4" a="1"/>
  <c r="A324" i="4" s="1"/>
  <c r="A323" i="4" a="1"/>
  <c r="A323" i="4" s="1"/>
  <c r="A322" i="4" a="1"/>
  <c r="A322" i="4" s="1"/>
  <c r="A321" i="4" a="1"/>
  <c r="A321" i="4" s="1"/>
  <c r="A320" i="4" a="1"/>
  <c r="A320" i="4" s="1"/>
  <c r="A319" i="4" a="1"/>
  <c r="A319" i="4" s="1"/>
  <c r="A318" i="4" a="1"/>
  <c r="A318" i="4" s="1"/>
  <c r="A317" i="4" a="1"/>
  <c r="A317" i="4" s="1"/>
  <c r="A316" i="4" a="1"/>
  <c r="A316" i="4" s="1"/>
  <c r="A315" i="4" a="1"/>
  <c r="A315" i="4" s="1"/>
  <c r="A314" i="4" a="1"/>
  <c r="A314" i="4" s="1"/>
  <c r="A313" i="4" a="1"/>
  <c r="A313" i="4" s="1"/>
  <c r="A312" i="4" a="1"/>
  <c r="A312" i="4" s="1"/>
  <c r="A311" i="4" a="1"/>
  <c r="A311" i="4" s="1"/>
  <c r="A310" i="4" a="1"/>
  <c r="A310" i="4" s="1"/>
  <c r="A309" i="4" a="1"/>
  <c r="A309" i="4" s="1"/>
  <c r="A308" i="4" a="1"/>
  <c r="A308" i="4" s="1"/>
  <c r="A307" i="4" a="1"/>
  <c r="A307" i="4" s="1"/>
  <c r="A306" i="4" a="1"/>
  <c r="A306" i="4" s="1"/>
  <c r="A305" i="4" a="1"/>
  <c r="A305" i="4" s="1"/>
  <c r="A304" i="4" a="1"/>
  <c r="A304" i="4" s="1"/>
  <c r="A303" i="4" a="1"/>
  <c r="A303" i="4" s="1"/>
  <c r="A302" i="4" a="1"/>
  <c r="A302" i="4" s="1"/>
  <c r="A301" i="4" a="1"/>
  <c r="A301" i="4" s="1"/>
  <c r="A300" i="4" a="1"/>
  <c r="A300" i="4" s="1"/>
  <c r="A299" i="4" a="1"/>
  <c r="A299" i="4" s="1"/>
  <c r="A298" i="4" a="1"/>
  <c r="A298" i="4" s="1"/>
  <c r="A297" i="4" a="1"/>
  <c r="A297" i="4" s="1"/>
  <c r="A296" i="4" a="1"/>
  <c r="A296" i="4" s="1"/>
  <c r="A295" i="4" a="1"/>
  <c r="A295" i="4" s="1"/>
  <c r="A294" i="4" a="1"/>
  <c r="A294" i="4" s="1"/>
  <c r="A293" i="4" a="1"/>
  <c r="A293" i="4" s="1"/>
  <c r="A292" i="4" a="1"/>
  <c r="A292" i="4" s="1"/>
  <c r="A291" i="4" a="1"/>
  <c r="A291" i="4" s="1"/>
  <c r="A290" i="4" a="1"/>
  <c r="A290" i="4" s="1"/>
  <c r="A289" i="4" a="1"/>
  <c r="A289" i="4" s="1"/>
  <c r="A288" i="4" a="1"/>
  <c r="A288" i="4" s="1"/>
  <c r="A287" i="4" a="1"/>
  <c r="A287" i="4" s="1"/>
  <c r="A286" i="4" a="1"/>
  <c r="A286" i="4" s="1"/>
  <c r="A285" i="4" a="1"/>
  <c r="A285" i="4" s="1"/>
  <c r="A284" i="4" a="1"/>
  <c r="A284" i="4" s="1"/>
  <c r="A283" i="4" a="1"/>
  <c r="A283" i="4" s="1"/>
  <c r="A282" i="4" a="1"/>
  <c r="A282" i="4" s="1"/>
  <c r="A281" i="4" a="1"/>
  <c r="A281" i="4" s="1"/>
  <c r="A280" i="4" a="1"/>
  <c r="A280" i="4" s="1"/>
  <c r="A279" i="4" a="1"/>
  <c r="A279" i="4" s="1"/>
  <c r="A278" i="4" a="1"/>
  <c r="A278" i="4" s="1"/>
  <c r="A277" i="4" a="1"/>
  <c r="A277" i="4" s="1"/>
  <c r="A276" i="4" a="1"/>
  <c r="A276" i="4" s="1"/>
  <c r="A275" i="4" a="1"/>
  <c r="A275" i="4" s="1"/>
  <c r="A274" i="4" a="1"/>
  <c r="A274" i="4" s="1"/>
  <c r="A273" i="4" a="1"/>
  <c r="A273" i="4" s="1"/>
  <c r="A272" i="4" a="1"/>
  <c r="A272" i="4" s="1"/>
  <c r="A271" i="4" a="1"/>
  <c r="A271" i="4" s="1"/>
  <c r="A270" i="4" a="1"/>
  <c r="A270" i="4" s="1"/>
  <c r="A269" i="4" a="1"/>
  <c r="A269" i="4" s="1"/>
  <c r="A268" i="4" a="1"/>
  <c r="A268" i="4" s="1"/>
  <c r="A267" i="4" a="1"/>
  <c r="A267" i="4" s="1"/>
  <c r="A266" i="4" a="1"/>
  <c r="A266" i="4" s="1"/>
  <c r="A265" i="4" a="1"/>
  <c r="A265" i="4" s="1"/>
  <c r="A264" i="4" a="1"/>
  <c r="A264" i="4" s="1"/>
  <c r="A263" i="4" a="1"/>
  <c r="A263" i="4" s="1"/>
  <c r="A262" i="4" a="1"/>
  <c r="A262" i="4" s="1"/>
  <c r="A261" i="4" a="1"/>
  <c r="A261" i="4" s="1"/>
  <c r="A260" i="4" a="1"/>
  <c r="A260" i="4" s="1"/>
  <c r="A259" i="4" a="1"/>
  <c r="A259" i="4" s="1"/>
  <c r="A258" i="4" a="1"/>
  <c r="A258" i="4" s="1"/>
  <c r="A257" i="4" a="1"/>
  <c r="A257" i="4" s="1"/>
  <c r="A256" i="4" a="1"/>
  <c r="A256" i="4" s="1"/>
  <c r="A255" i="4" a="1"/>
  <c r="A255" i="4" s="1"/>
  <c r="A254" i="4" a="1"/>
  <c r="A254" i="4" s="1"/>
  <c r="A253" i="4" a="1"/>
  <c r="A253" i="4" s="1"/>
  <c r="A252" i="4" a="1"/>
  <c r="A252" i="4" s="1"/>
  <c r="A251" i="4" a="1"/>
  <c r="A251" i="4" s="1"/>
  <c r="A250" i="4" a="1"/>
  <c r="A250" i="4" s="1"/>
  <c r="A249" i="4" a="1"/>
  <c r="A249" i="4" s="1"/>
  <c r="A248" i="4" a="1"/>
  <c r="A248" i="4" s="1"/>
  <c r="A247" i="4" a="1"/>
  <c r="A247" i="4" s="1"/>
  <c r="A246" i="4" a="1"/>
  <c r="A246" i="4" s="1"/>
  <c r="A245" i="4" a="1"/>
  <c r="A245" i="4" s="1"/>
  <c r="A244" i="4" a="1"/>
  <c r="A244" i="4" s="1"/>
  <c r="A243" i="4" a="1"/>
  <c r="A243" i="4" s="1"/>
  <c r="A242" i="4" a="1"/>
  <c r="A242" i="4" s="1"/>
  <c r="A241" i="4" a="1"/>
  <c r="A241" i="4" s="1"/>
  <c r="A240" i="4" a="1"/>
  <c r="A240" i="4" s="1"/>
  <c r="A239" i="4" a="1"/>
  <c r="A239" i="4" s="1"/>
  <c r="A238" i="4" a="1"/>
  <c r="A238" i="4" s="1"/>
  <c r="A237" i="4" a="1"/>
  <c r="A237" i="4" s="1"/>
  <c r="A236" i="4" a="1"/>
  <c r="A236" i="4" s="1"/>
  <c r="A235" i="4" a="1"/>
  <c r="A235" i="4" s="1"/>
  <c r="A234" i="4" a="1"/>
  <c r="A234" i="4" s="1"/>
  <c r="A233" i="4" a="1"/>
  <c r="A233" i="4" s="1"/>
  <c r="A232" i="4" a="1"/>
  <c r="A232" i="4" s="1"/>
  <c r="A231" i="4" a="1"/>
  <c r="A231" i="4" s="1"/>
  <c r="A230" i="4" a="1"/>
  <c r="A230" i="4" s="1"/>
  <c r="A229" i="4" a="1"/>
  <c r="A229" i="4" s="1"/>
  <c r="A228" i="4" a="1"/>
  <c r="A228" i="4" s="1"/>
  <c r="A227" i="4" a="1"/>
  <c r="A227" i="4" s="1"/>
  <c r="A226" i="4" a="1"/>
  <c r="A226" i="4" s="1"/>
  <c r="A225" i="4" a="1"/>
  <c r="A225" i="4" s="1"/>
  <c r="A224" i="4" a="1"/>
  <c r="A224" i="4" s="1"/>
  <c r="A223" i="4" a="1"/>
  <c r="A223" i="4" s="1"/>
  <c r="A222" i="4" a="1"/>
  <c r="A222" i="4" s="1"/>
  <c r="A221" i="4" a="1"/>
  <c r="A221" i="4" s="1"/>
  <c r="A220" i="4" a="1"/>
  <c r="A220" i="4" s="1"/>
  <c r="A219" i="4" a="1"/>
  <c r="A219" i="4" s="1"/>
  <c r="A218" i="4" a="1"/>
  <c r="A218" i="4" s="1"/>
  <c r="A217" i="4" a="1"/>
  <c r="A217" i="4" s="1"/>
  <c r="A216" i="4" a="1"/>
  <c r="A216" i="4" s="1"/>
  <c r="A215" i="4" a="1"/>
  <c r="A215" i="4" s="1"/>
  <c r="A214" i="4" a="1"/>
  <c r="A214" i="4" s="1"/>
  <c r="A213" i="4" a="1"/>
  <c r="A213" i="4" s="1"/>
  <c r="A212" i="4" a="1"/>
  <c r="A212" i="4" s="1"/>
  <c r="A211" i="4" a="1"/>
  <c r="A211" i="4" s="1"/>
  <c r="A210" i="4" a="1"/>
  <c r="A210" i="4" s="1"/>
  <c r="A209" i="4" a="1"/>
  <c r="A209" i="4" s="1"/>
  <c r="A208" i="4" a="1"/>
  <c r="A208" i="4" s="1"/>
  <c r="A207" i="4" a="1"/>
  <c r="A207" i="4" s="1"/>
  <c r="A206" i="4" a="1"/>
  <c r="A206" i="4" s="1"/>
  <c r="A205" i="4" a="1"/>
  <c r="A205" i="4" s="1"/>
  <c r="A204" i="4" a="1"/>
  <c r="A204" i="4" s="1"/>
  <c r="A203" i="4" a="1"/>
  <c r="A203" i="4" s="1"/>
  <c r="A202" i="4" a="1"/>
  <c r="A202" i="4" s="1"/>
  <c r="A201" i="4" a="1"/>
  <c r="A201" i="4" s="1"/>
  <c r="A200" i="4" a="1"/>
  <c r="A200" i="4" s="1"/>
  <c r="A199" i="4" a="1"/>
  <c r="A199" i="4" s="1"/>
  <c r="A198" i="4" a="1"/>
  <c r="A198" i="4" s="1"/>
  <c r="A197" i="4" a="1"/>
  <c r="A197" i="4" s="1"/>
  <c r="A196" i="4" a="1"/>
  <c r="A196" i="4" s="1"/>
  <c r="A195" i="4" a="1"/>
  <c r="A195" i="4" s="1"/>
  <c r="A194" i="4" a="1"/>
  <c r="A194" i="4" s="1"/>
  <c r="A193" i="4" a="1"/>
  <c r="A193" i="4" s="1"/>
  <c r="A192" i="4" a="1"/>
  <c r="A192" i="4" s="1"/>
  <c r="A191" i="4" a="1"/>
  <c r="A191" i="4" s="1"/>
  <c r="A190" i="4" a="1"/>
  <c r="A190" i="4" s="1"/>
  <c r="A189" i="4" a="1"/>
  <c r="A189" i="4" s="1"/>
  <c r="A188" i="4" a="1"/>
  <c r="A188" i="4" s="1"/>
  <c r="A187" i="4" a="1"/>
  <c r="A187" i="4" s="1"/>
  <c r="A186" i="4" a="1"/>
  <c r="A186" i="4" s="1"/>
  <c r="A185" i="4" a="1"/>
  <c r="A185" i="4" s="1"/>
  <c r="A184" i="4" a="1"/>
  <c r="A184" i="4" s="1"/>
  <c r="A183" i="4" a="1"/>
  <c r="A183" i="4" s="1"/>
  <c r="A182" i="4" a="1"/>
  <c r="A182" i="4" s="1"/>
  <c r="A181" i="4" a="1"/>
  <c r="A181" i="4" s="1"/>
  <c r="A180" i="4" a="1"/>
  <c r="A180" i="4" s="1"/>
  <c r="A179" i="4" a="1"/>
  <c r="A179" i="4" s="1"/>
  <c r="A178" i="4" a="1"/>
  <c r="A178" i="4" s="1"/>
  <c r="A177" i="4" a="1"/>
  <c r="A177" i="4" s="1"/>
  <c r="A176" i="4" a="1"/>
  <c r="A176" i="4" s="1"/>
  <c r="A175" i="4" a="1"/>
  <c r="A175" i="4" s="1"/>
  <c r="A174" i="4" a="1"/>
  <c r="A174" i="4" s="1"/>
  <c r="A173" i="4" a="1"/>
  <c r="A173" i="4" s="1"/>
  <c r="A172" i="4" a="1"/>
  <c r="A172" i="4" s="1"/>
  <c r="A171" i="4" a="1"/>
  <c r="A171" i="4" s="1"/>
  <c r="A170" i="4" a="1"/>
  <c r="A170" i="4" s="1"/>
  <c r="A169" i="4" a="1"/>
  <c r="A169" i="4" s="1"/>
  <c r="A168" i="4" a="1"/>
  <c r="A168" i="4" s="1"/>
  <c r="A167" i="4" a="1"/>
  <c r="A167" i="4" s="1"/>
  <c r="A166" i="4" a="1"/>
  <c r="A166" i="4" s="1"/>
  <c r="A165" i="4" a="1"/>
  <c r="A165" i="4" s="1"/>
  <c r="A164" i="4" a="1"/>
  <c r="A164" i="4" s="1"/>
  <c r="A163" i="4" a="1"/>
  <c r="A163" i="4" s="1"/>
  <c r="A162" i="4" a="1"/>
  <c r="A162" i="4" s="1"/>
  <c r="A161" i="4" a="1"/>
  <c r="A161" i="4" s="1"/>
  <c r="A160" i="4" a="1"/>
  <c r="A160" i="4" s="1"/>
  <c r="A159" i="4" a="1"/>
  <c r="A159" i="4" s="1"/>
  <c r="A158" i="4" a="1"/>
  <c r="A158" i="4" s="1"/>
  <c r="A157" i="4" a="1"/>
  <c r="A157" i="4" s="1"/>
  <c r="A156" i="4" a="1"/>
  <c r="A156" i="4" s="1"/>
  <c r="A155" i="4" a="1"/>
  <c r="A155" i="4" s="1"/>
  <c r="A154" i="4" a="1"/>
  <c r="A154" i="4" s="1"/>
  <c r="A153" i="4" a="1"/>
  <c r="A153" i="4" s="1"/>
  <c r="A152" i="4" a="1"/>
  <c r="A152" i="4" s="1"/>
  <c r="A151" i="4" a="1"/>
  <c r="A151" i="4" s="1"/>
  <c r="A150" i="4" a="1"/>
  <c r="A150" i="4" s="1"/>
  <c r="A149" i="4" a="1"/>
  <c r="A149" i="4" s="1"/>
  <c r="A148" i="4" a="1"/>
  <c r="A148" i="4" s="1"/>
  <c r="A147" i="4" a="1"/>
  <c r="A147" i="4" s="1"/>
  <c r="A146" i="4" a="1"/>
  <c r="A146" i="4" s="1"/>
  <c r="A145" i="4" a="1"/>
  <c r="A145" i="4" s="1"/>
  <c r="A144" i="4" a="1"/>
  <c r="A144" i="4" s="1"/>
  <c r="A143" i="4" a="1"/>
  <c r="A143" i="4" s="1"/>
  <c r="A142" i="4" a="1"/>
  <c r="A142" i="4" s="1"/>
  <c r="A141" i="4" a="1"/>
  <c r="A141" i="4" s="1"/>
  <c r="A140" i="4" a="1"/>
  <c r="A140" i="4" s="1"/>
  <c r="A139" i="4" a="1"/>
  <c r="A139" i="4" s="1"/>
  <c r="A138" i="4" a="1"/>
  <c r="A138" i="4" s="1"/>
  <c r="A137" i="4" a="1"/>
  <c r="A137" i="4" s="1"/>
  <c r="A136" i="4" a="1"/>
  <c r="A136" i="4" s="1"/>
  <c r="A135" i="4" a="1"/>
  <c r="A135" i="4" s="1"/>
  <c r="A134" i="4" a="1"/>
  <c r="A134" i="4" s="1"/>
  <c r="A133" i="4" a="1"/>
  <c r="A133" i="4" s="1"/>
  <c r="A132" i="4" a="1"/>
  <c r="A132" i="4" s="1"/>
  <c r="A131" i="4" a="1"/>
  <c r="A131" i="4" s="1"/>
  <c r="A130" i="4" a="1"/>
  <c r="A130" i="4" s="1"/>
  <c r="A129" i="4" a="1"/>
  <c r="A129" i="4" s="1"/>
  <c r="A128" i="4" a="1"/>
  <c r="A128" i="4" s="1"/>
  <c r="A127" i="4" a="1"/>
  <c r="A127" i="4" s="1"/>
  <c r="A126" i="4" a="1"/>
  <c r="A126" i="4" s="1"/>
  <c r="A125" i="4" a="1"/>
  <c r="A125" i="4" s="1"/>
  <c r="A124" i="4" a="1"/>
  <c r="A124" i="4" s="1"/>
  <c r="A123" i="4" a="1"/>
  <c r="A123" i="4" s="1"/>
  <c r="A122" i="4" a="1"/>
  <c r="A122" i="4" s="1"/>
  <c r="A121" i="4" a="1"/>
  <c r="A121" i="4" s="1"/>
  <c r="A120" i="4" a="1"/>
  <c r="A120" i="4" s="1"/>
  <c r="A119" i="4" a="1"/>
  <c r="A119" i="4" s="1"/>
  <c r="A118" i="4" a="1"/>
  <c r="A118" i="4" s="1"/>
  <c r="A117" i="4" a="1"/>
  <c r="A117" i="4" s="1"/>
  <c r="A116" i="4" a="1"/>
  <c r="A116" i="4" s="1"/>
  <c r="A115" i="4" a="1"/>
  <c r="A115" i="4" s="1"/>
  <c r="A114" i="4" a="1"/>
  <c r="A114" i="4" s="1"/>
  <c r="A113" i="4" a="1"/>
  <c r="A113" i="4" s="1"/>
  <c r="A112" i="4" a="1"/>
  <c r="A112" i="4" s="1"/>
  <c r="A111" i="4" a="1"/>
  <c r="A111" i="4" s="1"/>
  <c r="A110" i="4" a="1"/>
  <c r="A110" i="4" s="1"/>
  <c r="A109" i="4" a="1"/>
  <c r="A109" i="4" s="1"/>
  <c r="A108" i="4" a="1"/>
  <c r="A108" i="4" s="1"/>
  <c r="A107" i="4" a="1"/>
  <c r="A107" i="4" s="1"/>
  <c r="A106" i="4" a="1"/>
  <c r="A106" i="4" s="1"/>
  <c r="A105" i="4" a="1"/>
  <c r="A105" i="4" s="1"/>
  <c r="A104" i="4" a="1"/>
  <c r="A104" i="4" s="1"/>
  <c r="A103" i="4" a="1"/>
  <c r="A103" i="4" s="1"/>
  <c r="A102" i="4" a="1"/>
  <c r="A102" i="4" s="1"/>
  <c r="A101" i="4" a="1"/>
  <c r="A101" i="4" s="1"/>
  <c r="A100" i="4" a="1"/>
  <c r="A100" i="4" s="1"/>
  <c r="A99" i="4" a="1"/>
  <c r="A99" i="4" s="1"/>
  <c r="A98" i="4" a="1"/>
  <c r="A98" i="4" s="1"/>
  <c r="A97" i="4" a="1"/>
  <c r="A97" i="4" s="1"/>
  <c r="A96" i="4" a="1"/>
  <c r="A96" i="4" s="1"/>
  <c r="A95" i="4" a="1"/>
  <c r="A95" i="4" s="1"/>
  <c r="A94" i="4" a="1"/>
  <c r="A94" i="4" s="1"/>
  <c r="A93" i="4" a="1"/>
  <c r="A93" i="4" s="1"/>
  <c r="A92" i="4" a="1"/>
  <c r="A92" i="4" s="1"/>
  <c r="A91" i="4" a="1"/>
  <c r="A91" i="4" s="1"/>
  <c r="A90" i="4" a="1"/>
  <c r="A90" i="4" s="1"/>
  <c r="A89" i="4" a="1"/>
  <c r="A89" i="4" s="1"/>
  <c r="A88" i="4" a="1"/>
  <c r="A88" i="4" s="1"/>
  <c r="A87" i="4" a="1"/>
  <c r="A87" i="4" s="1"/>
  <c r="A86" i="4" a="1"/>
  <c r="A86" i="4" s="1"/>
  <c r="A85" i="4" a="1"/>
  <c r="A85" i="4" s="1"/>
  <c r="A84" i="4" a="1"/>
  <c r="A84" i="4" s="1"/>
  <c r="A83" i="4" a="1"/>
  <c r="A83" i="4" s="1"/>
  <c r="A82" i="4" a="1"/>
  <c r="A82" i="4" s="1"/>
  <c r="A81" i="4" a="1"/>
  <c r="A81" i="4" s="1"/>
  <c r="A80" i="4" a="1"/>
  <c r="A80" i="4" s="1"/>
  <c r="A79" i="4" a="1"/>
  <c r="A79" i="4" s="1"/>
  <c r="A78" i="4" a="1"/>
  <c r="A78" i="4" s="1"/>
  <c r="A77" i="4" a="1"/>
  <c r="A77" i="4" s="1"/>
  <c r="A76" i="4" a="1"/>
  <c r="A76" i="4" s="1"/>
  <c r="A75" i="4" a="1"/>
  <c r="A75" i="4" s="1"/>
  <c r="A74" i="4" a="1"/>
  <c r="A74" i="4" s="1"/>
  <c r="A73" i="4" a="1"/>
  <c r="A73" i="4" s="1"/>
  <c r="A72" i="4" a="1"/>
  <c r="A72" i="4" s="1"/>
  <c r="A71" i="4" a="1"/>
  <c r="A71" i="4" s="1"/>
  <c r="A70" i="4" a="1"/>
  <c r="A70" i="4" s="1"/>
  <c r="A69" i="4" a="1"/>
  <c r="A69" i="4" s="1"/>
  <c r="A68" i="4" a="1"/>
  <c r="A68" i="4" s="1"/>
  <c r="A67" i="4" a="1"/>
  <c r="A67" i="4" s="1"/>
  <c r="A66" i="4" a="1"/>
  <c r="A66" i="4" s="1"/>
  <c r="A65" i="4" a="1"/>
  <c r="A65" i="4" s="1"/>
  <c r="A64" i="4" a="1"/>
  <c r="A64" i="4" s="1"/>
  <c r="A63" i="4" a="1"/>
  <c r="A63" i="4" s="1"/>
  <c r="A62" i="4" a="1"/>
  <c r="A62" i="4" s="1"/>
  <c r="A61" i="4" a="1"/>
  <c r="A61" i="4" s="1"/>
  <c r="A60" i="4" a="1"/>
  <c r="A60" i="4" s="1"/>
  <c r="A59" i="4" a="1"/>
  <c r="A59" i="4" s="1"/>
  <c r="A58" i="4" a="1"/>
  <c r="A58" i="4" s="1"/>
  <c r="A57" i="4" a="1"/>
  <c r="A57" i="4" s="1"/>
  <c r="A56" i="4" a="1"/>
  <c r="A56" i="4" s="1"/>
  <c r="A55" i="4" a="1"/>
  <c r="A55" i="4" s="1"/>
  <c r="A54" i="4" a="1"/>
  <c r="A54" i="4" s="1"/>
  <c r="A53" i="4" a="1"/>
  <c r="A53" i="4" s="1"/>
  <c r="A52" i="4" a="1"/>
  <c r="A52" i="4" s="1"/>
  <c r="A51" i="4" a="1"/>
  <c r="A51" i="4" s="1"/>
  <c r="A50" i="4" a="1"/>
  <c r="A50" i="4" s="1"/>
  <c r="A49" i="4" a="1"/>
  <c r="A49" i="4" s="1"/>
  <c r="A48" i="4" a="1"/>
  <c r="A48" i="4" s="1"/>
  <c r="A47" i="4" a="1"/>
  <c r="A47" i="4" s="1"/>
  <c r="A46" i="4" a="1"/>
  <c r="A46" i="4" s="1"/>
  <c r="A45" i="4" a="1"/>
  <c r="A45" i="4" s="1"/>
  <c r="A44" i="4" a="1"/>
  <c r="A44" i="4" s="1"/>
  <c r="A43" i="4" a="1"/>
  <c r="A43" i="4" s="1"/>
  <c r="A42" i="4" a="1"/>
  <c r="A42" i="4" s="1"/>
  <c r="A41" i="4" a="1"/>
  <c r="A41" i="4" s="1"/>
  <c r="A40" i="4" a="1"/>
  <c r="A40" i="4" s="1"/>
  <c r="A39" i="4" a="1"/>
  <c r="A39" i="4" s="1"/>
  <c r="A38" i="4" a="1"/>
  <c r="A38" i="4" s="1"/>
  <c r="A37" i="4" a="1"/>
  <c r="A37" i="4" s="1"/>
  <c r="A36" i="4" a="1"/>
  <c r="A36" i="4" s="1"/>
  <c r="A35" i="4" a="1"/>
  <c r="A35" i="4" s="1"/>
  <c r="A34" i="4" a="1"/>
  <c r="A34" i="4" s="1"/>
  <c r="A33" i="4" a="1"/>
  <c r="A33" i="4" s="1"/>
  <c r="A32" i="4" a="1"/>
  <c r="A32" i="4" s="1"/>
  <c r="A31" i="4" a="1"/>
  <c r="A31" i="4" s="1"/>
  <c r="A30" i="4" a="1"/>
  <c r="A30" i="4" s="1"/>
  <c r="A29" i="4" a="1"/>
  <c r="A29" i="4" s="1"/>
  <c r="A28" i="4" a="1"/>
  <c r="A28" i="4" s="1"/>
  <c r="A27" i="4" a="1"/>
  <c r="A27" i="4" s="1"/>
  <c r="A26" i="4" a="1"/>
  <c r="A26" i="4" s="1"/>
  <c r="A25" i="4" a="1"/>
  <c r="A25" i="4" s="1"/>
  <c r="A24" i="4" a="1"/>
  <c r="A24" i="4" s="1"/>
  <c r="A23" i="4" a="1"/>
  <c r="A23" i="4" s="1"/>
  <c r="A22" i="4" a="1"/>
  <c r="A22" i="4" s="1"/>
  <c r="A21" i="4" a="1"/>
  <c r="A21" i="4" s="1"/>
  <c r="A20" i="4" a="1"/>
  <c r="A20" i="4" s="1"/>
  <c r="A19" i="4" a="1"/>
  <c r="A19" i="4" s="1"/>
  <c r="A18" i="4" a="1"/>
  <c r="A18" i="4" s="1"/>
  <c r="A17" i="4" a="1"/>
  <c r="A17" i="4" s="1"/>
  <c r="A16" i="4" a="1"/>
  <c r="A16" i="4" s="1"/>
  <c r="A15" i="4" a="1"/>
  <c r="A15" i="4" s="1"/>
  <c r="A14" i="4" a="1"/>
  <c r="A14" i="4" s="1"/>
  <c r="A13" i="4" a="1"/>
  <c r="A13" i="4" s="1"/>
  <c r="A12" i="4" a="1"/>
  <c r="A12" i="4" s="1"/>
  <c r="A11" i="4" a="1"/>
  <c r="A11" i="4" s="1"/>
  <c r="A10" i="4" a="1"/>
  <c r="A10" i="4" s="1"/>
  <c r="A9" i="4" a="1"/>
  <c r="A9" i="4" s="1"/>
  <c r="A8" i="4" a="1"/>
  <c r="A8" i="4" s="1"/>
  <c r="A7" i="4" a="1"/>
  <c r="A7" i="4" s="1"/>
  <c r="A6" i="4" a="1"/>
  <c r="A6" i="4" s="1"/>
  <c r="A5" i="4" a="1"/>
  <c r="A5" i="4" s="1"/>
  <c r="A4" i="4" a="1"/>
  <c r="A4" i="4" s="1"/>
  <c r="A3" i="4" a="1"/>
  <c r="A3" i="4" s="1"/>
  <c r="E30" i="1"/>
  <c r="A2" i="4" a="1"/>
  <c r="A2" i="4" s="1"/>
  <c r="K58" i="1"/>
  <c r="K57" i="1"/>
  <c r="K56" i="1"/>
  <c r="K55" i="1"/>
  <c r="K54" i="1"/>
  <c r="K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tc={9D363571-4F06-4E02-B83E-71C7A8B2B85B}</author>
  </authors>
  <commentList>
    <comment ref="F86" authorId="0" shapeId="0" xr:uid="{9D363571-4F06-4E02-B83E-71C7A8B2B85B}">
      <text>
        <t>[Threaded comment]
Your version of Excel allows you to read this threaded comment; however, any edits to it will get removed if the file is opened in a newer version of Excel. Learn more: https://go.microsoft.com/fwlink/?linkid=870924
Comment:
    Sambar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<sst xmlns="http://schemas.openxmlformats.org/spreadsheetml/2006/main" count="3474" uniqueCount="717">
  <si>
    <t>Unique Vendor ID</t>
  </si>
  <si>
    <t>Region</t>
  </si>
  <si>
    <t>Vendor Name</t>
  </si>
  <si>
    <t>Vendor Location</t>
  </si>
  <si>
    <t>Total Pax (Offsite)</t>
  </si>
  <si>
    <t>Electrical Equipment Availability</t>
  </si>
  <si>
    <t>List of Electrical Equipment at Vendor</t>
  </si>
  <si>
    <t>LPG Cylinders Stock Available</t>
  </si>
  <si>
    <t>GAIL/PNG at Vendor</t>
  </si>
  <si>
    <t>Others</t>
  </si>
  <si>
    <t>Avg Daily LPG Consumption</t>
  </si>
  <si>
    <t>Days of Stock</t>
  </si>
  <si>
    <t>Last Updated Date</t>
  </si>
  <si>
    <t>Operational Risk</t>
  </si>
  <si>
    <t>Owner Name</t>
  </si>
  <si>
    <t>Remarks</t>
  </si>
  <si>
    <t>Client</t>
  </si>
  <si>
    <t>Bangalore</t>
  </si>
  <si>
    <t>Mom's Gourmet Dining Solutions</t>
  </si>
  <si>
    <t>Whitefield</t>
  </si>
  <si>
    <t>No</t>
  </si>
  <si>
    <t>NA</t>
  </si>
  <si>
    <t>Happyplates pvt Ltd</t>
  </si>
  <si>
    <t>Marathalli</t>
  </si>
  <si>
    <t>Corporate Cuisine</t>
  </si>
  <si>
    <t>Yes</t>
  </si>
  <si>
    <t>Rizkee Fine Food And Leisure LLP</t>
  </si>
  <si>
    <t>Chefcraft Hospitality LLP</t>
  </si>
  <si>
    <t>Express Ventures Pvt Ltd-Bangalore</t>
  </si>
  <si>
    <t>Electronic City</t>
  </si>
  <si>
    <t>Lakshmi Catering Services</t>
  </si>
  <si>
    <t>Grub Foods</t>
  </si>
  <si>
    <t>Refill the stock</t>
  </si>
  <si>
    <t>FRONTIER NRI SEVA LLP</t>
  </si>
  <si>
    <t>Varthur</t>
  </si>
  <si>
    <t>Combi Oven</t>
  </si>
  <si>
    <t>MJ Caterers</t>
  </si>
  <si>
    <t>Koramangala</t>
  </si>
  <si>
    <t>Zesty Eats</t>
  </si>
  <si>
    <t>Hennur</t>
  </si>
  <si>
    <t>Aara Services</t>
  </si>
  <si>
    <t>Woodfire</t>
  </si>
  <si>
    <t>MELAANGE FOODS PRIVATE LIMITED</t>
  </si>
  <si>
    <t>Sumadhura Foods</t>
  </si>
  <si>
    <t>Hosur road</t>
  </si>
  <si>
    <t>Rich Bite Hospitality Pvt Ltd</t>
  </si>
  <si>
    <t>Bommanahalli</t>
  </si>
  <si>
    <t>Classic Kitchen</t>
  </si>
  <si>
    <t>SS Caterers</t>
  </si>
  <si>
    <t>Bannerghatta Road</t>
  </si>
  <si>
    <t>Compass India Food Services Pvt Ltd</t>
  </si>
  <si>
    <t>Mahadevpura</t>
  </si>
  <si>
    <t>Boiler,Combi,Brat Pan</t>
  </si>
  <si>
    <t>Mumbai</t>
  </si>
  <si>
    <t>Amika Caterer</t>
  </si>
  <si>
    <t>MDC2B - Accenture</t>
  </si>
  <si>
    <t>Marriott Hospitality</t>
  </si>
  <si>
    <t>MDC2C - Accenture</t>
  </si>
  <si>
    <t>16th March</t>
  </si>
  <si>
    <t>The Highness Foods</t>
  </si>
  <si>
    <t>Worli</t>
  </si>
  <si>
    <t>FNF</t>
  </si>
  <si>
    <t>Ambernath</t>
  </si>
  <si>
    <t>Ahemadabad</t>
  </si>
  <si>
    <t>Khushboo Hospitality</t>
  </si>
  <si>
    <t>Gift City</t>
  </si>
  <si>
    <t>Vadodara</t>
  </si>
  <si>
    <t>Sasu MA Gujarathi Thali</t>
  </si>
  <si>
    <t>Almebic city</t>
  </si>
  <si>
    <t>Indore</t>
  </si>
  <si>
    <t xml:space="preserve"> Anand Catering &amp; Service</t>
  </si>
  <si>
    <t>Secheme 72 Vijaynagar</t>
  </si>
  <si>
    <t>Boiler, Tawa, Combi</t>
  </si>
  <si>
    <t>Electrical</t>
  </si>
  <si>
    <t>NCR</t>
  </si>
  <si>
    <t>Nekta Food Solutions Ltd</t>
  </si>
  <si>
    <t>ITPG</t>
  </si>
  <si>
    <t xml:space="preserve">MANJAP FOODS WORKS </t>
  </si>
  <si>
    <t xml:space="preserve">Airtel Centre ,Plot 5 &amp; NOC Manesar </t>
  </si>
  <si>
    <t>KHANSAMAS</t>
  </si>
  <si>
    <t>Candor Sector 21</t>
  </si>
  <si>
    <t>Coriander/Foodies Health &amp; Snacks Company-Noida</t>
  </si>
  <si>
    <t>HQ27</t>
  </si>
  <si>
    <t>Aryan Delight</t>
  </si>
  <si>
    <t>DDC2</t>
  </si>
  <si>
    <t xml:space="preserve">Jaipur </t>
  </si>
  <si>
    <t xml:space="preserve">Make Eat Easy </t>
  </si>
  <si>
    <t>Tiffins ETC</t>
  </si>
  <si>
    <t xml:space="preserve">Airocity ,Cyberhub </t>
  </si>
  <si>
    <t>Foodanza</t>
  </si>
  <si>
    <t>Nitya Foods</t>
  </si>
  <si>
    <t xml:space="preserve">Magnum Tower </t>
  </si>
  <si>
    <t>Kolkata</t>
  </si>
  <si>
    <t xml:space="preserve"> Bless Hospitality Services</t>
  </si>
  <si>
    <t>Adventz</t>
  </si>
  <si>
    <t>Bento Box</t>
  </si>
  <si>
    <t>Merlin &amp; DLF</t>
  </si>
  <si>
    <t>Bhubaneswar</t>
  </si>
  <si>
    <t>Flavour Apogi</t>
  </si>
  <si>
    <t>GLC &amp; SDB</t>
  </si>
  <si>
    <t>Induction</t>
  </si>
  <si>
    <t xml:space="preserve"> Prima Farm Foods Pvt Ltd</t>
  </si>
  <si>
    <t xml:space="preserve">Chennai </t>
  </si>
  <si>
    <t>Amrudh Foods &amp; Spices Pvt Ltd</t>
  </si>
  <si>
    <t>Embassy</t>
  </si>
  <si>
    <t>Chennai Darbar Restaurant</t>
  </si>
  <si>
    <t>Event</t>
  </si>
  <si>
    <t>Annalakshmi Catering Services Private Limited</t>
  </si>
  <si>
    <t>Chennai</t>
  </si>
  <si>
    <t>South</t>
  </si>
  <si>
    <t>Sandy Kitchen</t>
  </si>
  <si>
    <t>POP'S Kitchen</t>
  </si>
  <si>
    <t>SRM Hotels Pvt Ltd</t>
  </si>
  <si>
    <t>Combi</t>
  </si>
  <si>
    <t>Lemongrove Hospitality Private Limited</t>
  </si>
  <si>
    <t>CDC2</t>
  </si>
  <si>
    <t>Coimbatore</t>
  </si>
  <si>
    <t>Sree Balaji Catering</t>
  </si>
  <si>
    <t>Rathinam Techpark</t>
  </si>
  <si>
    <t xml:space="preserve"> Trivandrum</t>
  </si>
  <si>
    <t>Krishipura</t>
  </si>
  <si>
    <t>Technopark Phase III, Kulathoor</t>
  </si>
  <si>
    <t>Gonguraa</t>
  </si>
  <si>
    <t>Global Info City</t>
  </si>
  <si>
    <t>Sangeetha Veg</t>
  </si>
  <si>
    <t>Curry Box Restaurants</t>
  </si>
  <si>
    <t>Sahiba's Punjabi Nation</t>
  </si>
  <si>
    <t>Pasum pon</t>
  </si>
  <si>
    <t>Pune</t>
  </si>
  <si>
    <t>Basil Hospitality Pvt Ltd</t>
  </si>
  <si>
    <t>Baner</t>
  </si>
  <si>
    <t>Jadhav Caterers</t>
  </si>
  <si>
    <t>Hinjawadi &amp; Shivajinagar</t>
  </si>
  <si>
    <t>DIETICO HEALTHFOOD &amp; ALLIED</t>
  </si>
  <si>
    <t>Kalyani nagar</t>
  </si>
  <si>
    <t>Sach Hospitality LLP</t>
  </si>
  <si>
    <t xml:space="preserve">Wagdaonsherry </t>
  </si>
  <si>
    <t>Nagpur</t>
  </si>
  <si>
    <t>Baron Integrated Services Pvt.Ltd</t>
  </si>
  <si>
    <t>MIHAN</t>
  </si>
  <si>
    <t xml:space="preserve">Genz Gourmet </t>
  </si>
  <si>
    <t>Induction and salamanders</t>
  </si>
  <si>
    <t>HYD</t>
  </si>
  <si>
    <t>Kale Berry Foods</t>
  </si>
  <si>
    <t>Q-City</t>
  </si>
  <si>
    <t>Zomoz</t>
  </si>
  <si>
    <t>Metro</t>
  </si>
  <si>
    <t>On Site</t>
  </si>
  <si>
    <t>City Chefs Catering Services</t>
  </si>
  <si>
    <t>HDC4</t>
  </si>
  <si>
    <t>20 (47.5 Kg each)</t>
  </si>
  <si>
    <t>Ignite Kitchen</t>
  </si>
  <si>
    <t>"Rice Cooker 3 Nos (Each of 10 Kg yield)
Hot Plate 3 Nos
Idly Steamer 1 Nos"</t>
  </si>
  <si>
    <t>Aahara Vanam</t>
  </si>
  <si>
    <t>HDC5</t>
  </si>
  <si>
    <t>ALTRUIST TECHNOLOGIES PRIVATE LIMITED</t>
  </si>
  <si>
    <t>Sattva KC</t>
  </si>
  <si>
    <t>Mom's Menu</t>
  </si>
  <si>
    <t>tower-2 and 4</t>
  </si>
  <si>
    <t>HAS Facility Services</t>
  </si>
  <si>
    <t>tower-1,2,and 4</t>
  </si>
  <si>
    <t>Dil Punjabi</t>
  </si>
  <si>
    <t>tower-4</t>
  </si>
  <si>
    <t>Sri Sai Balaji Enterprises</t>
  </si>
  <si>
    <t>Tower-2 and 4</t>
  </si>
  <si>
    <t>Prism</t>
  </si>
  <si>
    <t>CTS-Gar</t>
  </si>
  <si>
    <t>onsite ops closed already, food is coming from base kitchen where they have 10 days of backup, vendor has not disclosed the actual number of cylinders</t>
  </si>
  <si>
    <t>Swathi</t>
  </si>
  <si>
    <t>CTS-GAR</t>
  </si>
  <si>
    <t>Bake Box (Snacks)</t>
  </si>
  <si>
    <t>Nexity</t>
  </si>
  <si>
    <t>California Burrito</t>
  </si>
  <si>
    <t>Nom Nom Restuarants Pvt Ltd</t>
  </si>
  <si>
    <t>FMC</t>
  </si>
  <si>
    <t>Elior India Food Services LLP</t>
  </si>
  <si>
    <t>Phoenix</t>
  </si>
  <si>
    <t>Complete on-site operations except Biryani that comes from base kitchen weekly twice, 120 pax per day</t>
  </si>
  <si>
    <t>Food Craft</t>
  </si>
  <si>
    <t>BDC7A</t>
  </si>
  <si>
    <t>NISARGA TEA &amp; JUICE</t>
  </si>
  <si>
    <t>Y</t>
  </si>
  <si>
    <t>Brewing Room Lounge Pvt Ltd</t>
  </si>
  <si>
    <t>Delhi</t>
  </si>
  <si>
    <t>Chodhary Food</t>
  </si>
  <si>
    <t>Hyderabad</t>
  </si>
  <si>
    <t>Local Heros Foods Pvt Ltd</t>
  </si>
  <si>
    <t>SA Food Court</t>
  </si>
  <si>
    <t>Saiesh Juice And Tea Centre</t>
  </si>
  <si>
    <t>Buy Two Tea Cafe</t>
  </si>
  <si>
    <t>S S Caterers</t>
  </si>
  <si>
    <t>Tea Day</t>
  </si>
  <si>
    <t xml:space="preserve">Corporate Cafe </t>
  </si>
  <si>
    <t>Shree Girija Caterers</t>
  </si>
  <si>
    <t>Tea Day Mysuru</t>
  </si>
  <si>
    <t>Papas Kitchen</t>
  </si>
  <si>
    <t>AB Kwality Food Service</t>
  </si>
  <si>
    <t>HRH Kitchen LLP</t>
  </si>
  <si>
    <t>Star Brew Global Beverages</t>
  </si>
  <si>
    <t>Spoon&amp;Spicy</t>
  </si>
  <si>
    <t>DS Cafe</t>
  </si>
  <si>
    <t>Fresh Amego</t>
  </si>
  <si>
    <t>Feastfable LLP</t>
  </si>
  <si>
    <t>DAY FRESH JUICE</t>
  </si>
  <si>
    <t>S H Enterprises</t>
  </si>
  <si>
    <t>M J Caterers</t>
  </si>
  <si>
    <t>Iyer-Foods</t>
  </si>
  <si>
    <t>S K Foods</t>
  </si>
  <si>
    <t>S.C.V.Catering</t>
  </si>
  <si>
    <t>Yasss Foods</t>
  </si>
  <si>
    <t>Mohan Bhoj</t>
  </si>
  <si>
    <t>Tiffin's Etc</t>
  </si>
  <si>
    <t>Gurgoan</t>
  </si>
  <si>
    <t>Gourmet Services Pvt Ltd</t>
  </si>
  <si>
    <t>Crudo Fresh Pvt Ltd</t>
  </si>
  <si>
    <t>Multi Brand Food And Beverage</t>
  </si>
  <si>
    <t>Yard house brewery pvt ltd</t>
  </si>
  <si>
    <t>Fork and Flames</t>
  </si>
  <si>
    <t>Foodies Health &amp; Snacks Company</t>
  </si>
  <si>
    <t xml:space="preserve"> S K Caterers</t>
  </si>
  <si>
    <t>Delicious Bite</t>
  </si>
  <si>
    <t>Ahmedabad</t>
  </si>
  <si>
    <t>Khushboo Foods Pvt Ltd</t>
  </si>
  <si>
    <t xml:space="preserve"> Burman Hospitality Pvt Ltd</t>
  </si>
  <si>
    <t xml:space="preserve"> SHANVIM</t>
  </si>
  <si>
    <t>tanvith enterprises</t>
  </si>
  <si>
    <t xml:space="preserve"> Flavor Heaven</t>
  </si>
  <si>
    <t xml:space="preserve"> Fresh Squeeze</t>
  </si>
  <si>
    <t xml:space="preserve"> Food Kart &amp; Kraaft Inc</t>
  </si>
  <si>
    <t xml:space="preserve"> Golden Crust Company</t>
  </si>
  <si>
    <t xml:space="preserve"> FUSION BYTES</t>
  </si>
  <si>
    <t xml:space="preserve"> SAI Leela Hospitality Services</t>
  </si>
  <si>
    <t xml:space="preserve"> BRAHMALINGESHWARA HOSPITALITY SERVICES</t>
  </si>
  <si>
    <t xml:space="preserve"> Natturz Bio Kontrol Pvt Ltd</t>
  </si>
  <si>
    <t xml:space="preserve"> Shiva Enterprises</t>
  </si>
  <si>
    <t xml:space="preserve"> Sit and Sip</t>
  </si>
  <si>
    <t xml:space="preserve"> Swad E Punjab</t>
  </si>
  <si>
    <t>Swad E Punjab</t>
  </si>
  <si>
    <t xml:space="preserve"> Brewbay Innovations Pvt Ltd</t>
  </si>
  <si>
    <t xml:space="preserve"> Sumadhura Foods</t>
  </si>
  <si>
    <t xml:space="preserve"> Tea Day</t>
  </si>
  <si>
    <t xml:space="preserve"> Dr'S Foodie Enterprises</t>
  </si>
  <si>
    <t xml:space="preserve"> Lemongrove Hospitality Pvt Ltd</t>
  </si>
  <si>
    <t xml:space="preserve"> Quench and Crunch</t>
  </si>
  <si>
    <t xml:space="preserve"> Studio Lancelot</t>
  </si>
  <si>
    <t xml:space="preserve"> Dosa Delight</t>
  </si>
  <si>
    <t xml:space="preserve"> Metro Cool Joint Services Pvt. Ltd.</t>
  </si>
  <si>
    <t xml:space="preserve"> Fast Track Foods</t>
  </si>
  <si>
    <t xml:space="preserve"> MDP Food and Beverages Pvt Ltd</t>
  </si>
  <si>
    <t xml:space="preserve"> Andhra Magic Ventures</t>
  </si>
  <si>
    <t xml:space="preserve"> Bistro 57 Foods &amp; Beverages Pvt Ltd</t>
  </si>
  <si>
    <t xml:space="preserve"> Melting Cakes LLP</t>
  </si>
  <si>
    <t>Mitthi Social Initiatives foundation</t>
  </si>
  <si>
    <t xml:space="preserve"> S H Enterprises</t>
  </si>
  <si>
    <t xml:space="preserve"> S.Balaji</t>
  </si>
  <si>
    <t xml:space="preserve"> Brijesh Enterprises</t>
  </si>
  <si>
    <t xml:space="preserve"> BVS Enterprises</t>
  </si>
  <si>
    <t xml:space="preserve"> chef bakers</t>
  </si>
  <si>
    <t xml:space="preserve"> Donne Biriyni Mane</t>
  </si>
  <si>
    <t xml:space="preserve"> Novo Labs Technology Pvt Ltd</t>
  </si>
  <si>
    <t xml:space="preserve"> Springalley Pvt Ltd</t>
  </si>
  <si>
    <t xml:space="preserve"> Rama Devi Enterprises</t>
  </si>
  <si>
    <t xml:space="preserve"> Golden Feast</t>
  </si>
  <si>
    <t xml:space="preserve"> SPS Tech Solutions</t>
  </si>
  <si>
    <t xml:space="preserve"> Sri Sai Foods</t>
  </si>
  <si>
    <t xml:space="preserve"> Tea Wheeler Pvt Ltd</t>
  </si>
  <si>
    <t xml:space="preserve"> Curry Box Restaurant</t>
  </si>
  <si>
    <t xml:space="preserve"> Exquisito Foods</t>
  </si>
  <si>
    <t xml:space="preserve"> MS Foods</t>
  </si>
  <si>
    <t xml:space="preserve"> Calcutta's Chef</t>
  </si>
  <si>
    <t>Cool N Fresh</t>
  </si>
  <si>
    <t>Madras Coffee House</t>
  </si>
  <si>
    <t>Uma Enterprise</t>
  </si>
  <si>
    <t xml:space="preserve"> D-Light Foods And Hospitality Pvt L</t>
  </si>
  <si>
    <t xml:space="preserve"> ECR Bakers</t>
  </si>
  <si>
    <t xml:space="preserve"> EDF Juices Pvt ltd</t>
  </si>
  <si>
    <t xml:space="preserve"> Onliest Foods</t>
  </si>
  <si>
    <t xml:space="preserve"> Rajalakshmi Marketing Pvt Ltd</t>
  </si>
  <si>
    <t xml:space="preserve"> FINE FRUIT JUICE</t>
  </si>
  <si>
    <t xml:space="preserve"> Vel Chakra Coffee Pvt Ltd</t>
  </si>
  <si>
    <t xml:space="preserve"> SA Food Court</t>
  </si>
  <si>
    <t xml:space="preserve"> Innov8 Caffeine Works Pvt. Ltd.</t>
  </si>
  <si>
    <t xml:space="preserve"> Mahalakshmi Baking Company</t>
  </si>
  <si>
    <t xml:space="preserve"> Puja Hospitality</t>
  </si>
  <si>
    <t xml:space="preserve"> Burrito Restaurants Pvt Ltd</t>
  </si>
  <si>
    <t xml:space="preserve"> Cloudbox Foods Pvt Ltd</t>
  </si>
  <si>
    <t xml:space="preserve"> Nom Nom Restaurants Pvt Ltd</t>
  </si>
  <si>
    <t xml:space="preserve"> 5Th Mdp Franchisee Products</t>
  </si>
  <si>
    <t xml:space="preserve"> CONTINENTAL CORNER</t>
  </si>
  <si>
    <t xml:space="preserve"> Farmbowl Urbankisaan Pvt Ltd</t>
  </si>
  <si>
    <t xml:space="preserve"> Harleys India Pvt Ltd</t>
  </si>
  <si>
    <t xml:space="preserve"> Madhur Foods</t>
  </si>
  <si>
    <t xml:space="preserve"> Mohammedia Shawarma</t>
  </si>
  <si>
    <t xml:space="preserve"> Riddhi Siddhi Prime Enterprises</t>
  </si>
  <si>
    <t xml:space="preserve"> Avanti Foods</t>
  </si>
  <si>
    <t xml:space="preserve"> M/S Sri Praneetha Bakers</t>
  </si>
  <si>
    <t xml:space="preserve"> Namish Comfort Foods And Caterers</t>
  </si>
  <si>
    <t xml:space="preserve"> New Naturals Juices</t>
  </si>
  <si>
    <t xml:space="preserve"> Saiesh Juice And Tea Centre</t>
  </si>
  <si>
    <t xml:space="preserve"> Siddhi Vinayaka Food And Beverages</t>
  </si>
  <si>
    <t xml:space="preserve"> SNACKFAX MEDIA AND SERVICES PRIVATE LIMITED</t>
  </si>
  <si>
    <t xml:space="preserve"> Sri Indira Marketing</t>
  </si>
  <si>
    <t xml:space="preserve"> Joy Phil Enterprises</t>
  </si>
  <si>
    <t xml:space="preserve"> MOUNTAIN TRAIL FOODS</t>
  </si>
  <si>
    <t xml:space="preserve"> Ambika Caterers</t>
  </si>
  <si>
    <t xml:space="preserve"> Barista Coffee Company Ltd</t>
  </si>
  <si>
    <t xml:space="preserve"> Omkar Food &amp; Beverages</t>
  </si>
  <si>
    <t xml:space="preserve"> Parth Food And Beverages</t>
  </si>
  <si>
    <t xml:space="preserve"> Sarjena Foods Pvt Ltd</t>
  </si>
  <si>
    <t xml:space="preserve"> Suruchi And Shivali LLP</t>
  </si>
  <si>
    <t xml:space="preserve"> Wetreat Inc</t>
  </si>
  <si>
    <t xml:space="preserve"> Yumfuel Foods Pvt Ltd</t>
  </si>
  <si>
    <t xml:space="preserve"> Chis Foods LLP</t>
  </si>
  <si>
    <t xml:space="preserve"> Fork &amp; Flames</t>
  </si>
  <si>
    <t xml:space="preserve"> Kunal Marketing</t>
  </si>
  <si>
    <t xml:space="preserve"> Yash Charitable Trust</t>
  </si>
  <si>
    <t xml:space="preserve"> YRL Foodd LLP</t>
  </si>
  <si>
    <t xml:space="preserve"> Chai Caf00e9</t>
  </si>
  <si>
    <t xml:space="preserve"> Healthy Pie</t>
  </si>
  <si>
    <t xml:space="preserve"> JBR International</t>
  </si>
  <si>
    <t xml:space="preserve"> Maanya Enterprises</t>
  </si>
  <si>
    <t xml:space="preserve"> Mr.Moustaches Cakes</t>
  </si>
  <si>
    <t xml:space="preserve"> Ridhima Hospitality</t>
  </si>
  <si>
    <t>Namasty Hospitality</t>
  </si>
  <si>
    <t xml:space="preserve"> JRD Holdings Pvt Ltd</t>
  </si>
  <si>
    <t xml:space="preserve"> Kunj Enterprises</t>
  </si>
  <si>
    <t xml:space="preserve"> ARM Hospitality Pvt Ltd</t>
  </si>
  <si>
    <t xml:space="preserve"> ARUSH SNACKS AND CATERERS</t>
  </si>
  <si>
    <t xml:space="preserve"> SHREE SAI ENTERPRISES</t>
  </si>
  <si>
    <t xml:space="preserve"> AFOOZO PRIVATE LIMITED</t>
  </si>
  <si>
    <t>misal express</t>
  </si>
  <si>
    <t>Nibblix India Private Limited</t>
  </si>
  <si>
    <t>Royal Hospitality Services</t>
  </si>
  <si>
    <t xml:space="preserve"> Chordia Foodworks</t>
  </si>
  <si>
    <t xml:space="preserve"> Sankar'S Banana Leaf</t>
  </si>
  <si>
    <t xml:space="preserve"> SHREE SWAMI SAMARTH HOSPITALITY</t>
  </si>
  <si>
    <t xml:space="preserve"> Eastern Delight</t>
  </si>
  <si>
    <t xml:space="preserve"> Flavours &amp; Spices</t>
  </si>
  <si>
    <t xml:space="preserve"> Bhojann Foods</t>
  </si>
  <si>
    <t xml:space="preserve"> Bigbillion Food &amp; Beverages Pvt Ltd</t>
  </si>
  <si>
    <t xml:space="preserve"> Cane Zone</t>
  </si>
  <si>
    <t xml:space="preserve"> IAB Solutions Pvt Ltd</t>
  </si>
  <si>
    <t>Bhubaneshwar</t>
  </si>
  <si>
    <t xml:space="preserve"> Flavr Apogi Healthcare And Industri</t>
  </si>
  <si>
    <t xml:space="preserve"> Laxmi Enterprizes</t>
  </si>
  <si>
    <t xml:space="preserve"> Tasty treat</t>
  </si>
  <si>
    <t xml:space="preserve"> GREEN GOURMET WELLNESS</t>
  </si>
  <si>
    <t>MTGV</t>
  </si>
  <si>
    <t xml:space="preserve"> Sapthagiri Creations</t>
  </si>
  <si>
    <t xml:space="preserve"> SHILTON HOSPITALITY LLP</t>
  </si>
  <si>
    <t xml:space="preserve"> Aroma Tea Caf00e9</t>
  </si>
  <si>
    <t xml:space="preserve"> Tikkatini</t>
  </si>
  <si>
    <t xml:space="preserve"> Cafecool</t>
  </si>
  <si>
    <t xml:space="preserve"> Food Galaxy</t>
  </si>
  <si>
    <t xml:space="preserve"> JUST EAT</t>
  </si>
  <si>
    <t xml:space="preserve"> GS Food Court</t>
  </si>
  <si>
    <t xml:space="preserve"> Hazelnut</t>
  </si>
  <si>
    <t>sri satyanarayana food &amp; machinery</t>
  </si>
  <si>
    <t xml:space="preserve"> Fresh N Crunch</t>
  </si>
  <si>
    <t xml:space="preserve"> PRABHATI FOODS PVT LTD</t>
  </si>
  <si>
    <t xml:space="preserve"> Wintage Premium Foods And Beverages</t>
  </si>
  <si>
    <t xml:space="preserve"> Nishi Caterers</t>
  </si>
  <si>
    <t xml:space="preserve"> VENTURE PROFESSIONAL HOSPITALITY</t>
  </si>
  <si>
    <t xml:space="preserve"> Royal Hospitality Services</t>
  </si>
  <si>
    <t xml:space="preserve"> Basra Tea Coffee Snacks</t>
  </si>
  <si>
    <t xml:space="preserve"> Aadith Sai Enterprise</t>
  </si>
  <si>
    <t xml:space="preserve"> Barbeque-Nation Hospitality Ltd</t>
  </si>
  <si>
    <t xml:space="preserve"> Marron Brown-Bliss</t>
  </si>
  <si>
    <t xml:space="preserve"> Prasidh Catering Services</t>
  </si>
  <si>
    <t xml:space="preserve"> Unique Hospitality</t>
  </si>
  <si>
    <t>CITY</t>
  </si>
  <si>
    <t>Client Name</t>
  </si>
  <si>
    <t>Client Location</t>
  </si>
  <si>
    <t>Total Pax Served through SQ (Only Offsite)</t>
  </si>
  <si>
    <t>Electrical Equipment Availability at Client</t>
  </si>
  <si>
    <t>List of Electrical Equipment at Client</t>
  </si>
  <si>
    <t>GAIL/PNG at Client</t>
  </si>
  <si>
    <t>Admin Name</t>
  </si>
  <si>
    <t>BDC9</t>
  </si>
  <si>
    <t>LTTS_RGA</t>
  </si>
  <si>
    <t>LTTS_S1</t>
  </si>
  <si>
    <t>WELLSFARGO_BLR_CARNATION_GROUNDFLR</t>
  </si>
  <si>
    <t>WELLSFARGO_BLR_PETUNIA9TH</t>
  </si>
  <si>
    <t>WELLSFARGO_CHN</t>
  </si>
  <si>
    <t>DDC3</t>
  </si>
  <si>
    <t>DDC4A</t>
  </si>
  <si>
    <t>BDC7C</t>
  </si>
  <si>
    <t>HDC1ISKYVIEW10</t>
  </si>
  <si>
    <t>HDC5A</t>
  </si>
  <si>
    <t>WELLSFARGO_HYD17</t>
  </si>
  <si>
    <t>WELLSFARGO_HYDT3</t>
  </si>
  <si>
    <t>MDC2B</t>
  </si>
  <si>
    <t>MTNR</t>
  </si>
  <si>
    <t>ather</t>
  </si>
  <si>
    <t>booking_com</t>
  </si>
  <si>
    <t>brillio</t>
  </si>
  <si>
    <t>cargill</t>
  </si>
  <si>
    <t>chryscapital</t>
  </si>
  <si>
    <t>cignahealthcare</t>
  </si>
  <si>
    <t>citrix</t>
  </si>
  <si>
    <t>clario</t>
  </si>
  <si>
    <t>cloudera</t>
  </si>
  <si>
    <t>computacenter</t>
  </si>
  <si>
    <t>continental</t>
  </si>
  <si>
    <t>elililly_sq</t>
  </si>
  <si>
    <t>f5</t>
  </si>
  <si>
    <t>H&amp;M</t>
  </si>
  <si>
    <t>ikea</t>
  </si>
  <si>
    <t>infineon_technologies</t>
  </si>
  <si>
    <t>kongsberg</t>
  </si>
  <si>
    <t>miq</t>
  </si>
  <si>
    <t>moengage</t>
  </si>
  <si>
    <t>Nike</t>
  </si>
  <si>
    <t>odessaindia</t>
  </si>
  <si>
    <t>piramalfinance</t>
  </si>
  <si>
    <t>planview</t>
  </si>
  <si>
    <t>plum</t>
  </si>
  <si>
    <t>quince</t>
  </si>
  <si>
    <t>rippling</t>
  </si>
  <si>
    <t>Schneider -BLR</t>
  </si>
  <si>
    <t>Siemens Healthineer</t>
  </si>
  <si>
    <t>siemens_rapl</t>
  </si>
  <si>
    <t>siemensrga</t>
  </si>
  <si>
    <t>siemenstech</t>
  </si>
  <si>
    <t>stripe</t>
  </si>
  <si>
    <t>strykers</t>
  </si>
  <si>
    <t>take2interactive</t>
  </si>
  <si>
    <t>tekion</t>
  </si>
  <si>
    <t>telstra</t>
  </si>
  <si>
    <t>tessolvesemiconductor</t>
  </si>
  <si>
    <t>thales</t>
  </si>
  <si>
    <t>toasttab_sq</t>
  </si>
  <si>
    <t>tonbo</t>
  </si>
  <si>
    <t>vector</t>
  </si>
  <si>
    <t>waters</t>
  </si>
  <si>
    <t>z_scaler</t>
  </si>
  <si>
    <t>dtcc</t>
  </si>
  <si>
    <t>gartnerchn</t>
  </si>
  <si>
    <t>GONGURAA</t>
  </si>
  <si>
    <t>Pasum Pon</t>
  </si>
  <si>
    <t>tatacommunicationsltd</t>
  </si>
  <si>
    <t>sael</t>
  </si>
  <si>
    <t>NITYA FOODS</t>
  </si>
  <si>
    <t>tadano</t>
  </si>
  <si>
    <t>jungleegames</t>
  </si>
  <si>
    <t>salesforce</t>
  </si>
  <si>
    <t>AT&amp;T Communication Services India Pvt Ltd</t>
  </si>
  <si>
    <t>questglobal</t>
  </si>
  <si>
    <t>Jaipur</t>
  </si>
  <si>
    <t>Make Eat Easy</t>
  </si>
  <si>
    <t>Manesar</t>
  </si>
  <si>
    <t>FOODANZA</t>
  </si>
  <si>
    <t>Airtel_NCR</t>
  </si>
  <si>
    <t>corning</t>
  </si>
  <si>
    <t>sinch_noida</t>
  </si>
  <si>
    <t>amadeus</t>
  </si>
  <si>
    <t>phonepe</t>
  </si>
  <si>
    <t>siemenspune</t>
  </si>
  <si>
    <t>Amadeus Etamin</t>
  </si>
  <si>
    <t>Amadeus Electra</t>
  </si>
  <si>
    <t>Amadeus Mercury</t>
  </si>
  <si>
    <t>Amadeus Elanath</t>
  </si>
  <si>
    <t>Sinch BLR</t>
  </si>
  <si>
    <t>BDC11</t>
  </si>
  <si>
    <t>BDC3</t>
  </si>
  <si>
    <t>BDC7</t>
  </si>
  <si>
    <t>Astrazenca</t>
  </si>
  <si>
    <t>Computacenter</t>
  </si>
  <si>
    <t>ICON_FC_BLR</t>
  </si>
  <si>
    <t>ICON_FC_CHN</t>
  </si>
  <si>
    <t xml:space="preserve"> Krishipura</t>
  </si>
  <si>
    <t>ICON_FC_TVDM</t>
  </si>
  <si>
    <t>GVP2</t>
  </si>
  <si>
    <t>GVP5</t>
  </si>
  <si>
    <t>WELLSFARGO_BLR_ASTER</t>
  </si>
  <si>
    <t>WELLSFARGO_CARNATION_1STFLR</t>
  </si>
  <si>
    <t xml:space="preserve"> Lemongrove Hospitality Private Limited</t>
  </si>
  <si>
    <t xml:space="preserve"> Sandy Kitchen</t>
  </si>
  <si>
    <t>CDC6</t>
  </si>
  <si>
    <t>DTCC_COMMON_FC</t>
  </si>
  <si>
    <t xml:space="preserve"> Sahiba's Punjabi Nation</t>
  </si>
  <si>
    <t xml:space="preserve"> Sangeetha Veg</t>
  </si>
  <si>
    <t>TATACOMMUNICATIONS_FC_CPDELHI</t>
  </si>
  <si>
    <t>TATACOMMUNICATIONS_FC_DELHI</t>
  </si>
  <si>
    <t>TATACOMMUNICATIONS_FC_JTB</t>
  </si>
  <si>
    <t>TATACOMMUNICATIONS_FC_KOLKATA</t>
  </si>
  <si>
    <t>TATACOMMUNICATIONS_FC_KURLA</t>
  </si>
  <si>
    <t>TATACOMMUNICATIONS_FC_RMZ</t>
  </si>
  <si>
    <t xml:space="preserve"> POP'S KITCHEN</t>
  </si>
  <si>
    <t xml:space="preserve"> City Chefs Catering Services</t>
  </si>
  <si>
    <t xml:space="preserve"> Ignite Kitchen </t>
  </si>
  <si>
    <t xml:space="preserve"> Aahara Vanam</t>
  </si>
  <si>
    <t>Carelon</t>
  </si>
  <si>
    <t>DTCC_HYD</t>
  </si>
  <si>
    <t xml:space="preserve"> Has Facility Services</t>
  </si>
  <si>
    <t xml:space="preserve"> Sri Sai Balaji Enterprises</t>
  </si>
  <si>
    <t>WELLSFARGO_HYD18</t>
  </si>
  <si>
    <t xml:space="preserve"> Mom's Menu </t>
  </si>
  <si>
    <t>WELLSFARGO_HYDL3</t>
  </si>
  <si>
    <t>WELLSFARGO_HYDT1</t>
  </si>
  <si>
    <t>WELLSFARGO_HYDT2</t>
  </si>
  <si>
    <t>WELLSFARGO_HYDT2_P6</t>
  </si>
  <si>
    <t xml:space="preserve"> MARRIOTT HOSPITALITY</t>
  </si>
  <si>
    <t>MDC2B1STFLOOR</t>
  </si>
  <si>
    <t>MDC2C</t>
  </si>
  <si>
    <t xml:space="preserve"> The Highness Foods</t>
  </si>
  <si>
    <t xml:space="preserve"> Aryan Delight</t>
  </si>
  <si>
    <t xml:space="preserve"> Khansamas</t>
  </si>
  <si>
    <t>MASTERCARD_GUR</t>
  </si>
  <si>
    <t>PDC3B</t>
  </si>
  <si>
    <t xml:space="preserve"> Jadhav Caterers</t>
  </si>
  <si>
    <t>INFOSYS_PUNE_FC3</t>
  </si>
  <si>
    <t>PDC5</t>
  </si>
  <si>
    <t xml:space="preserve"> Sach Hospitality LLP</t>
  </si>
  <si>
    <t>KOMLN</t>
  </si>
  <si>
    <t>LTIM_CHN_INVCMP</t>
  </si>
  <si>
    <t xml:space="preserve"> SRM Hotels Pvt Ltd</t>
  </si>
  <si>
    <t>MTBH</t>
  </si>
  <si>
    <t>MTBN</t>
  </si>
  <si>
    <t>MTE2</t>
  </si>
  <si>
    <t>MTG1</t>
  </si>
  <si>
    <t>MTHS</t>
  </si>
  <si>
    <t>MTI6</t>
  </si>
  <si>
    <t>MTI9</t>
  </si>
  <si>
    <t>MTIN</t>
  </si>
  <si>
    <t>MTK2</t>
  </si>
  <si>
    <t>MTKD</t>
  </si>
  <si>
    <t>MTLC</t>
  </si>
  <si>
    <t>MTLT</t>
  </si>
  <si>
    <t>MTM2</t>
  </si>
  <si>
    <t>MTMM</t>
  </si>
  <si>
    <t>MTN3</t>
  </si>
  <si>
    <t>MTNO</t>
  </si>
  <si>
    <t>MTP3</t>
  </si>
  <si>
    <t>MTPE</t>
  </si>
  <si>
    <t>MTPS</t>
  </si>
  <si>
    <t>MTRB</t>
  </si>
  <si>
    <t>MTRM</t>
  </si>
  <si>
    <t xml:space="preserve"> Sree Balaji Catering</t>
  </si>
  <si>
    <t>MTRT</t>
  </si>
  <si>
    <t>MTSV</t>
  </si>
  <si>
    <t>MTWH</t>
  </si>
  <si>
    <t>MASTERCARD_FC_PUNE</t>
  </si>
  <si>
    <t>RNTBCI</t>
  </si>
  <si>
    <t>Pax served</t>
  </si>
  <si>
    <t>Blore</t>
  </si>
  <si>
    <t>Happy Plates</t>
  </si>
  <si>
    <t xml:space="preserve">Amadeus </t>
  </si>
  <si>
    <t xml:space="preserve">KG </t>
  </si>
  <si>
    <t>CC</t>
  </si>
  <si>
    <t>AstraZeneca</t>
  </si>
  <si>
    <t>SS</t>
  </si>
  <si>
    <t>Ather</t>
  </si>
  <si>
    <t>MJ</t>
  </si>
  <si>
    <t xml:space="preserve">Aumovio (Continental) </t>
  </si>
  <si>
    <t>EVPL</t>
  </si>
  <si>
    <t>Melange</t>
  </si>
  <si>
    <t>Booking.com</t>
  </si>
  <si>
    <t>Brillio / Table Space</t>
  </si>
  <si>
    <t>Frontier</t>
  </si>
  <si>
    <t>Carelon Bagmane</t>
  </si>
  <si>
    <t>Carelon MTP</t>
  </si>
  <si>
    <t>Moms Gourmet</t>
  </si>
  <si>
    <t>Cargill</t>
  </si>
  <si>
    <t>Cigna Healthcare</t>
  </si>
  <si>
    <t xml:space="preserve">Citrix </t>
  </si>
  <si>
    <t>Aara</t>
  </si>
  <si>
    <t>Clario</t>
  </si>
  <si>
    <t>Cloudera</t>
  </si>
  <si>
    <t>Summadhura</t>
  </si>
  <si>
    <t>Compass</t>
  </si>
  <si>
    <t>Eli Lily</t>
  </si>
  <si>
    <t>Richbite</t>
  </si>
  <si>
    <t xml:space="preserve">F5 </t>
  </si>
  <si>
    <t>Icon</t>
  </si>
  <si>
    <t>IKEA</t>
  </si>
  <si>
    <t>Infineon</t>
  </si>
  <si>
    <t>Brunch &amp; Bite</t>
  </si>
  <si>
    <t>Kongsberg</t>
  </si>
  <si>
    <t>LTTS</t>
  </si>
  <si>
    <t>MiQ</t>
  </si>
  <si>
    <t xml:space="preserve">MJ </t>
  </si>
  <si>
    <t>Moengage</t>
  </si>
  <si>
    <t>Odessa</t>
  </si>
  <si>
    <t>Piramal</t>
  </si>
  <si>
    <t>Plan View</t>
  </si>
  <si>
    <t>Plum</t>
  </si>
  <si>
    <t xml:space="preserve">Richbite </t>
  </si>
  <si>
    <t>Rippling</t>
  </si>
  <si>
    <t>Schneider</t>
  </si>
  <si>
    <t>Siemens -Healthineer</t>
  </si>
  <si>
    <t>Siemens RGA</t>
  </si>
  <si>
    <t>Siemens Tech</t>
  </si>
  <si>
    <t>Grub</t>
  </si>
  <si>
    <t>Lakshmi</t>
  </si>
  <si>
    <t>Sinch</t>
  </si>
  <si>
    <t>Stripe</t>
  </si>
  <si>
    <t>Stryker</t>
  </si>
  <si>
    <t>Take Two</t>
  </si>
  <si>
    <t>Tekion</t>
  </si>
  <si>
    <t>Telstra</t>
  </si>
  <si>
    <t>Tessolve</t>
  </si>
  <si>
    <t>Thales</t>
  </si>
  <si>
    <t>Tonbo Imaging</t>
  </si>
  <si>
    <t>Vector</t>
  </si>
  <si>
    <t xml:space="preserve">Waters </t>
  </si>
  <si>
    <t>Zscaler</t>
  </si>
  <si>
    <t>Richbite - BF</t>
  </si>
  <si>
    <t>Siemens Rail</t>
  </si>
  <si>
    <t>Grub - NV Lunch</t>
  </si>
  <si>
    <t>Lakshmi - V Lunch</t>
  </si>
  <si>
    <t>Toasttab</t>
  </si>
  <si>
    <t>Sandy's &amp; Pop's - Kitchen</t>
  </si>
  <si>
    <t>Wells Fargo</t>
  </si>
  <si>
    <t>Anna Lakshmi/SRM</t>
  </si>
  <si>
    <t>LTM</t>
  </si>
  <si>
    <t>Sandy's &amp; Lemon Grove</t>
  </si>
  <si>
    <t xml:space="preserve">Accenture </t>
  </si>
  <si>
    <t>SRM &amp; JRG Foods</t>
  </si>
  <si>
    <t>RP Foods Pasumpon</t>
  </si>
  <si>
    <t xml:space="preserve">TCL </t>
  </si>
  <si>
    <t>Lemon Grove</t>
  </si>
  <si>
    <t>ICON-CHN</t>
  </si>
  <si>
    <t>Chennai Darbar</t>
  </si>
  <si>
    <t>TOAST</t>
  </si>
  <si>
    <t>Gartner</t>
  </si>
  <si>
    <t>Amrudh Foods</t>
  </si>
  <si>
    <t>Sangeetha, Gongura &amp; SK Foods</t>
  </si>
  <si>
    <t>Siemens</t>
  </si>
  <si>
    <t>Sangeetha &amp; Gongura</t>
  </si>
  <si>
    <t>Siemens - GBS</t>
  </si>
  <si>
    <t>SK Foods, Amudham Foods, Dr's Foodie, Sangeetha, Punjabi Nation, Gonguraa, Mansukh, Currybox, Bubble tea</t>
  </si>
  <si>
    <t>DTCC</t>
  </si>
  <si>
    <t>Sangeetha, Gongura &amp; Currybox</t>
  </si>
  <si>
    <t>Tredence</t>
  </si>
  <si>
    <t>ICON</t>
  </si>
  <si>
    <t xml:space="preserve">Sree Balaji catering </t>
  </si>
  <si>
    <t xml:space="preserve">LTM </t>
  </si>
  <si>
    <t xml:space="preserve">Hyd </t>
  </si>
  <si>
    <t>HAS Facilities</t>
  </si>
  <si>
    <t xml:space="preserve">Wells Fargo </t>
  </si>
  <si>
    <t xml:space="preserve">Moms Menu </t>
  </si>
  <si>
    <t xml:space="preserve">Sri Sai Balaji </t>
  </si>
  <si>
    <t xml:space="preserve">City Chef </t>
  </si>
  <si>
    <t xml:space="preserve">Dil Punjabi </t>
  </si>
  <si>
    <t xml:space="preserve">Bake Box, NOM NOM, California Buritto, Full Meal Co </t>
  </si>
  <si>
    <t xml:space="preserve">Altrust </t>
  </si>
  <si>
    <t xml:space="preserve">AT&amp;T </t>
  </si>
  <si>
    <t xml:space="preserve">Pi Kitchen </t>
  </si>
  <si>
    <t xml:space="preserve">Elior </t>
  </si>
  <si>
    <t xml:space="preserve">Carelon </t>
  </si>
  <si>
    <t xml:space="preserve">Kaleberry </t>
  </si>
  <si>
    <t xml:space="preserve">Quest </t>
  </si>
  <si>
    <t>Prism Hopsitality</t>
  </si>
  <si>
    <t>Cognizant</t>
  </si>
  <si>
    <t>Swathi foods</t>
  </si>
  <si>
    <t>The Ignite Kitchen Flavours Of Choi</t>
  </si>
  <si>
    <t xml:space="preserve">hyd </t>
  </si>
  <si>
    <t>HDC1</t>
  </si>
  <si>
    <t>Swach</t>
  </si>
  <si>
    <t>Bless Hospitality</t>
  </si>
  <si>
    <t>Flavrapogi , Prima foods, Laxmi Enterprisis</t>
  </si>
  <si>
    <t>Noida</t>
  </si>
  <si>
    <t xml:space="preserve">Coriander </t>
  </si>
  <si>
    <t>Gurugram</t>
  </si>
  <si>
    <t>Accenture</t>
  </si>
  <si>
    <t>Chodhary Foods</t>
  </si>
  <si>
    <t>SK Caterer</t>
  </si>
  <si>
    <t>Nekta foods</t>
  </si>
  <si>
    <t>Stryker ITPG</t>
  </si>
  <si>
    <t>Stryker Manesar</t>
  </si>
  <si>
    <t>Stryker Warehouse</t>
  </si>
  <si>
    <t>Tadano</t>
  </si>
  <si>
    <t>Nitya foods</t>
  </si>
  <si>
    <t>Corning</t>
  </si>
  <si>
    <t xml:space="preserve">Tiffin etc </t>
  </si>
  <si>
    <t>SAEL</t>
  </si>
  <si>
    <t>Gurgaon</t>
  </si>
  <si>
    <t xml:space="preserve">Salesforce </t>
  </si>
  <si>
    <t>Make eat Easy</t>
  </si>
  <si>
    <t xml:space="preserve">Salesaforce </t>
  </si>
  <si>
    <t xml:space="preserve">Siemens </t>
  </si>
  <si>
    <t>Gourmar kitchen</t>
  </si>
  <si>
    <t xml:space="preserve">Junglee </t>
  </si>
  <si>
    <t xml:space="preserve">Khansamas </t>
  </si>
  <si>
    <t>Manjap</t>
  </si>
  <si>
    <t>Airtel center</t>
  </si>
  <si>
    <t>Airtel Honda</t>
  </si>
  <si>
    <t>Airtel NOC</t>
  </si>
  <si>
    <t>Airtel</t>
  </si>
  <si>
    <t xml:space="preserve">Basil Hospitality </t>
  </si>
  <si>
    <t>Dietico</t>
  </si>
  <si>
    <t>Amadeus</t>
  </si>
  <si>
    <t>Phone Pe</t>
  </si>
  <si>
    <t xml:space="preserve">Multiple Vendor </t>
  </si>
  <si>
    <t>Infosys</t>
  </si>
  <si>
    <t xml:space="preserve">Corning </t>
  </si>
  <si>
    <t>Aroma Tea Cafe, Tikkatini, Jadhav Caterers</t>
  </si>
  <si>
    <t>LTM IT 06</t>
  </si>
  <si>
    <t>Aroma Tea Cafe, Food Galaxy, Just Eat, Jadhav Caterers</t>
  </si>
  <si>
    <t>LTM IT 09</t>
  </si>
  <si>
    <t>Royal Hospitality Services, Jadhav Caterers</t>
  </si>
  <si>
    <t>LTM Embassy</t>
  </si>
  <si>
    <t>Tikkatini, Food Galaxy</t>
  </si>
  <si>
    <t>LTM ICC Tower</t>
  </si>
  <si>
    <t>Aroma Tea Cafe, Tikkatini, Sumitra Enterprises, Jadhav Caterers</t>
  </si>
  <si>
    <t>LTM Shivajinagar</t>
  </si>
  <si>
    <t xml:space="preserve">Baron Integrated Services Private Limited </t>
  </si>
  <si>
    <t>LTM Nagpur</t>
  </si>
  <si>
    <t>Anand Catering Services</t>
  </si>
  <si>
    <t>LTM Indore</t>
  </si>
  <si>
    <t>Ambilka Caterer, Marriott Hospitality</t>
  </si>
  <si>
    <t>Cryscapital</t>
  </si>
  <si>
    <t xml:space="preserve">Pune Food Factory </t>
  </si>
  <si>
    <t xml:space="preserve">Accenture Pune </t>
  </si>
  <si>
    <t xml:space="preserve">Jadhav Hospitality </t>
  </si>
  <si>
    <t xml:space="preserve">Telstra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</si>
</sst>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dd\.mm\.yy;@"/>
    <numFmt numFmtId="166" formatCode="_(* #,##0_);_(* \(#,##0\);_(* &quot;-&quot;??_);_(@_)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/>
    <xf numFmtId="1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166" fontId="0" fillId="4" borderId="2" xfId="1" applyNumberFormat="1" applyFont="1" applyFill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0" fillId="4" borderId="5" xfId="0" applyFill="1" applyBorder="1"/>
    <xf numFmtId="0" fontId="2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0" fillId="5" borderId="2" xfId="0" applyFill="1" applyBorder="1"/>
    <xf numFmtId="0" fontId="0" fillId="0" borderId="0" xfId="0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/>
    </xf>
    <xf numFmtId="166" fontId="0" fillId="4" borderId="0" xfId="0" applyNumberFormat="1" applyFill="1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166" fontId="0" fillId="0" borderId="2" xfId="0" applyNumberFormat="1" applyBorder="1" applyAlignment="1">
      <alignment horizontal="center"/>
    </xf>
    <xf numFmtId="166" fontId="0" fillId="4" borderId="2" xfId="0" applyNumberForma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5" borderId="2" xfId="0" applyNumberForma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2" xfId="0" applyFill="1" applyBorder="1" applyAlignment="1">
      <alignment horizontal="center" vertical="center" wrapText="1"/>
    </xf>
    <xf numFmtId="166" fontId="0" fillId="4" borderId="2" xfId="0" applyNumberFormat="1" applyFill="1" applyBorder="1" applyAlignment="1">
      <alignment horizontal="center"/>
    </xf>
    <xf numFmtId="0" fontId="8" fillId="0" borderId="2" xfId="0" applyFont="1" applyBorder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6" fontId="3" fillId="4" borderId="2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/>
    </xf>
    <xf numFmtId="1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center" wrapText="1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center" wrapText="1"/>
    </xf>
    <xf numFmtId="166" fontId="0" fillId="9" borderId="2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epak M" id="{C4498436-575C-44CE-8898-2F71AB2342DF}" userId="S::Deepak.M@thesmartq.com::87cb3425-4bd9-4f45-b42a-6d3c55db470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6" dT="2026-03-17T11:41:21.37" personId="{C4498436-575C-44CE-8898-2F71AB2342DF}" id="{9D363571-4F06-4E02-B83E-71C7A8B2B85B}">
    <text>Sambar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E62C8-53A0-4DC8-A5F1-B4C24BD3E012}">
  <dimension ref="A1:Q269"/>
  <sheetViews>
    <sheetView showGridLines="0" workbookViewId="0">
      <pane xSplit="3" ySplit="1" topLeftCell="M69" activePane="bottomRight" state="frozen"/>
      <selection pane="bottomRight" activeCell="Q74" sqref="Q74"/>
      <selection pane="bottomLeft"/>
      <selection pane="topRight"/>
    </sheetView>
  </sheetViews>
  <sheetFormatPr defaultColWidth="78.28515625" defaultRowHeight="15" customHeight="1"/>
  <cols>
    <col min="1" max="1" width="19.140625" style="2" customWidth="1"/>
    <col min="2" max="2" width="19" style="2" customWidth="1"/>
    <col min="3" max="3" width="40.140625" style="2" customWidth="1"/>
    <col min="4" max="4" width="27.7109375" style="2" customWidth="1"/>
    <col min="5" max="5" width="18.7109375" style="36" customWidth="1"/>
    <col min="6" max="6" width="28.7109375" style="2" bestFit="1" customWidth="1"/>
    <col min="7" max="7" width="32.42578125" style="2" bestFit="1" customWidth="1"/>
    <col min="8" max="8" width="26.28515625" style="2" bestFit="1" customWidth="1"/>
    <col min="9" max="9" width="23.140625" style="2" customWidth="1"/>
    <col min="10" max="10" width="17.7109375" style="2" customWidth="1"/>
    <col min="11" max="11" width="28.42578125" style="2" customWidth="1"/>
    <col min="12" max="12" width="19.140625" style="2" customWidth="1"/>
    <col min="13" max="13" width="21.85546875" style="2" customWidth="1"/>
    <col min="14" max="14" width="18.85546875" style="2" customWidth="1"/>
    <col min="15" max="15" width="19.5703125" style="2" customWidth="1"/>
    <col min="16" max="16" width="19.140625" style="2" customWidth="1"/>
    <col min="17" max="16384" width="78.28515625" style="2"/>
  </cols>
  <sheetData>
    <row r="1" spans="1:17" ht="43.9" customHeight="1">
      <c r="A1" s="54" t="s">
        <v>0</v>
      </c>
      <c r="B1" s="54" t="s">
        <v>1</v>
      </c>
      <c r="C1" s="55" t="s">
        <v>2</v>
      </c>
      <c r="D1" s="54" t="s">
        <v>3</v>
      </c>
      <c r="E1" s="56" t="s">
        <v>4</v>
      </c>
      <c r="F1" s="57" t="s">
        <v>5</v>
      </c>
      <c r="G1" s="54" t="s">
        <v>6</v>
      </c>
      <c r="H1" s="57" t="s">
        <v>7</v>
      </c>
      <c r="I1" s="57" t="s">
        <v>8</v>
      </c>
      <c r="J1" s="54" t="s">
        <v>9</v>
      </c>
      <c r="K1" s="54" t="s">
        <v>10</v>
      </c>
      <c r="L1" s="57" t="s">
        <v>11</v>
      </c>
      <c r="M1" s="58" t="s">
        <v>12</v>
      </c>
      <c r="N1" s="54" t="s">
        <v>13</v>
      </c>
      <c r="O1" s="54" t="s">
        <v>14</v>
      </c>
      <c r="P1" s="54" t="s">
        <v>15</v>
      </c>
      <c r="Q1" s="54" t="s">
        <v>16</v>
      </c>
    </row>
    <row r="2" spans="1:17" customFormat="1">
      <c r="A2" s="12">
        <v>1</v>
      </c>
      <c r="B2" s="3" t="s">
        <v>17</v>
      </c>
      <c r="C2" s="39" t="s">
        <v>18</v>
      </c>
      <c r="D2" s="33" t="s">
        <v>19</v>
      </c>
      <c r="E2" s="15"/>
      <c r="F2" s="4" t="s">
        <v>20</v>
      </c>
      <c r="G2" s="5" t="s">
        <v>21</v>
      </c>
      <c r="H2" s="51">
        <v>18</v>
      </c>
      <c r="I2" s="5" t="s">
        <v>20</v>
      </c>
      <c r="J2" s="5">
        <v>0</v>
      </c>
      <c r="K2" s="5">
        <v>6.5</v>
      </c>
      <c r="L2" s="5">
        <v>4</v>
      </c>
      <c r="M2" s="59">
        <v>46094</v>
      </c>
      <c r="N2" s="12"/>
      <c r="O2" s="12"/>
      <c r="P2" s="12"/>
      <c r="Q2" s="12"/>
    </row>
    <row r="3" spans="1:17" customFormat="1">
      <c r="A3" s="12">
        <v>2</v>
      </c>
      <c r="B3" s="3" t="s">
        <v>17</v>
      </c>
      <c r="C3" s="39" t="s">
        <v>22</v>
      </c>
      <c r="D3" s="33" t="s">
        <v>23</v>
      </c>
      <c r="E3" s="15">
        <v>4000</v>
      </c>
      <c r="F3" s="4" t="s">
        <v>20</v>
      </c>
      <c r="G3" s="5" t="s">
        <v>21</v>
      </c>
      <c r="H3" s="3">
        <v>12</v>
      </c>
      <c r="I3" s="5" t="s">
        <v>20</v>
      </c>
      <c r="J3" s="5">
        <v>0</v>
      </c>
      <c r="K3" s="5">
        <v>4</v>
      </c>
      <c r="L3" s="5">
        <v>3</v>
      </c>
      <c r="M3" s="59">
        <v>46094</v>
      </c>
      <c r="N3" s="12"/>
      <c r="O3" s="12"/>
      <c r="P3" s="12"/>
      <c r="Q3" s="12"/>
    </row>
    <row r="4" spans="1:17" customFormat="1">
      <c r="A4" s="12">
        <v>3</v>
      </c>
      <c r="B4" s="3" t="s">
        <v>17</v>
      </c>
      <c r="C4" s="39" t="s">
        <v>24</v>
      </c>
      <c r="D4" s="33" t="s">
        <v>19</v>
      </c>
      <c r="E4" s="15">
        <v>1500</v>
      </c>
      <c r="F4" s="4" t="s">
        <v>20</v>
      </c>
      <c r="G4" s="5" t="s">
        <v>25</v>
      </c>
      <c r="H4" s="33">
        <v>2</v>
      </c>
      <c r="I4" s="5" t="s">
        <v>20</v>
      </c>
      <c r="J4" s="5">
        <v>0</v>
      </c>
      <c r="K4" s="5">
        <v>2.5</v>
      </c>
      <c r="L4" s="5">
        <v>1</v>
      </c>
      <c r="M4" s="59">
        <v>46094</v>
      </c>
      <c r="N4" s="12"/>
      <c r="O4" s="12"/>
      <c r="P4" s="12"/>
      <c r="Q4" s="12"/>
    </row>
    <row r="5" spans="1:17" customFormat="1">
      <c r="A5" s="12">
        <v>4</v>
      </c>
      <c r="B5" s="3" t="s">
        <v>17</v>
      </c>
      <c r="C5" s="39" t="s">
        <v>26</v>
      </c>
      <c r="D5" s="33" t="s">
        <v>19</v>
      </c>
      <c r="E5" s="15">
        <v>3200</v>
      </c>
      <c r="F5" s="4" t="s">
        <v>20</v>
      </c>
      <c r="G5" s="5" t="s">
        <v>21</v>
      </c>
      <c r="H5" s="3">
        <v>0</v>
      </c>
      <c r="I5" s="5" t="s">
        <v>25</v>
      </c>
      <c r="J5" s="5">
        <v>0</v>
      </c>
      <c r="K5" s="5">
        <v>0</v>
      </c>
      <c r="L5" s="5">
        <v>15</v>
      </c>
      <c r="M5" s="59">
        <v>46094</v>
      </c>
      <c r="N5" s="12"/>
      <c r="O5" s="12"/>
      <c r="P5" s="12"/>
      <c r="Q5" s="12"/>
    </row>
    <row r="6" spans="1:17" customFormat="1">
      <c r="A6" s="12">
        <v>5</v>
      </c>
      <c r="B6" s="3" t="s">
        <v>17</v>
      </c>
      <c r="C6" s="39" t="s">
        <v>27</v>
      </c>
      <c r="D6" s="33" t="s">
        <v>19</v>
      </c>
      <c r="E6" s="15">
        <v>35000</v>
      </c>
      <c r="F6" s="4" t="s">
        <v>20</v>
      </c>
      <c r="G6" s="5" t="s">
        <v>21</v>
      </c>
      <c r="H6" s="3">
        <v>9</v>
      </c>
      <c r="I6" s="5" t="s">
        <v>25</v>
      </c>
      <c r="J6" s="5">
        <v>0</v>
      </c>
      <c r="K6" s="5">
        <v>2</v>
      </c>
      <c r="L6" s="5">
        <v>15</v>
      </c>
      <c r="M6" s="59">
        <v>46094</v>
      </c>
      <c r="N6" s="12"/>
      <c r="O6" s="12"/>
      <c r="P6" s="12"/>
      <c r="Q6" s="12"/>
    </row>
    <row r="7" spans="1:17" customFormat="1">
      <c r="A7" s="12">
        <v>6</v>
      </c>
      <c r="B7" s="3" t="s">
        <v>17</v>
      </c>
      <c r="C7" s="39" t="s">
        <v>28</v>
      </c>
      <c r="D7" s="33" t="s">
        <v>29</v>
      </c>
      <c r="E7" s="15">
        <v>7000</v>
      </c>
      <c r="F7" s="4" t="s">
        <v>20</v>
      </c>
      <c r="G7" s="5" t="s">
        <v>21</v>
      </c>
      <c r="H7" s="3">
        <v>0</v>
      </c>
      <c r="I7" s="5" t="s">
        <v>25</v>
      </c>
      <c r="J7" s="5">
        <v>0</v>
      </c>
      <c r="K7" s="5">
        <v>0</v>
      </c>
      <c r="L7" s="5">
        <v>15</v>
      </c>
      <c r="M7" s="59">
        <v>46094</v>
      </c>
      <c r="N7" s="12"/>
      <c r="O7" s="12"/>
      <c r="P7" s="12"/>
      <c r="Q7" s="12"/>
    </row>
    <row r="8" spans="1:17" customFormat="1">
      <c r="A8" s="12">
        <v>7</v>
      </c>
      <c r="B8" s="3" t="s">
        <v>17</v>
      </c>
      <c r="C8" s="39" t="s">
        <v>30</v>
      </c>
      <c r="D8" s="33" t="s">
        <v>29</v>
      </c>
      <c r="E8" s="15">
        <v>20000</v>
      </c>
      <c r="F8" s="4" t="s">
        <v>20</v>
      </c>
      <c r="G8" s="5" t="s">
        <v>21</v>
      </c>
      <c r="H8" s="3">
        <v>21</v>
      </c>
      <c r="I8" s="5" t="s">
        <v>20</v>
      </c>
      <c r="J8" s="5">
        <v>0</v>
      </c>
      <c r="K8" s="5">
        <v>7</v>
      </c>
      <c r="L8" s="5">
        <v>3</v>
      </c>
      <c r="M8" s="59">
        <v>46094</v>
      </c>
      <c r="N8" s="12"/>
      <c r="O8" s="12"/>
      <c r="P8" s="12"/>
      <c r="Q8" s="12"/>
    </row>
    <row r="9" spans="1:17" customFormat="1">
      <c r="A9" s="12">
        <v>8</v>
      </c>
      <c r="B9" s="3" t="s">
        <v>17</v>
      </c>
      <c r="C9" s="39" t="s">
        <v>31</v>
      </c>
      <c r="D9" s="33" t="s">
        <v>29</v>
      </c>
      <c r="E9" s="15">
        <v>20000</v>
      </c>
      <c r="F9" s="4" t="s">
        <v>20</v>
      </c>
      <c r="G9" s="5" t="s">
        <v>21</v>
      </c>
      <c r="H9" s="3">
        <v>9</v>
      </c>
      <c r="I9" s="5" t="s">
        <v>20</v>
      </c>
      <c r="J9" s="5">
        <v>0</v>
      </c>
      <c r="K9" s="5">
        <v>9</v>
      </c>
      <c r="L9" s="5">
        <v>5</v>
      </c>
      <c r="M9" s="59">
        <v>46094</v>
      </c>
      <c r="N9" s="12" t="s">
        <v>32</v>
      </c>
      <c r="O9" s="12"/>
      <c r="P9" s="12"/>
      <c r="Q9" s="12"/>
    </row>
    <row r="10" spans="1:17" customFormat="1" ht="15" customHeight="1">
      <c r="A10" s="12">
        <v>9</v>
      </c>
      <c r="B10" s="3" t="s">
        <v>17</v>
      </c>
      <c r="C10" s="39" t="s">
        <v>33</v>
      </c>
      <c r="D10" s="33" t="s">
        <v>34</v>
      </c>
      <c r="E10" s="15">
        <v>6000</v>
      </c>
      <c r="F10" s="4" t="s">
        <v>25</v>
      </c>
      <c r="G10" s="5" t="s">
        <v>35</v>
      </c>
      <c r="H10" s="51">
        <v>40</v>
      </c>
      <c r="I10" s="5" t="s">
        <v>20</v>
      </c>
      <c r="J10" s="5">
        <v>0</v>
      </c>
      <c r="K10" s="5">
        <v>9</v>
      </c>
      <c r="L10" s="5">
        <v>5</v>
      </c>
      <c r="M10" s="59">
        <v>46094</v>
      </c>
      <c r="N10" s="12"/>
      <c r="O10" s="12"/>
      <c r="P10" s="12"/>
      <c r="Q10" s="12"/>
    </row>
    <row r="11" spans="1:17" customFormat="1">
      <c r="A11" s="12">
        <v>10</v>
      </c>
      <c r="B11" s="3" t="s">
        <v>17</v>
      </c>
      <c r="C11" s="39" t="s">
        <v>36</v>
      </c>
      <c r="D11" s="33" t="s">
        <v>37</v>
      </c>
      <c r="E11" s="15">
        <v>1100</v>
      </c>
      <c r="F11" s="4" t="s">
        <v>20</v>
      </c>
      <c r="G11" s="5" t="s">
        <v>21</v>
      </c>
      <c r="H11" s="33">
        <v>18</v>
      </c>
      <c r="I11" s="5" t="s">
        <v>20</v>
      </c>
      <c r="J11" s="5">
        <v>0</v>
      </c>
      <c r="K11" s="5">
        <v>5</v>
      </c>
      <c r="L11" s="5">
        <v>3</v>
      </c>
      <c r="M11" s="59">
        <v>46094</v>
      </c>
      <c r="N11" s="12"/>
      <c r="O11" s="12"/>
      <c r="P11" s="12"/>
      <c r="Q11" s="12"/>
    </row>
    <row r="12" spans="1:17" customFormat="1">
      <c r="A12" s="12">
        <v>11</v>
      </c>
      <c r="B12" s="3" t="s">
        <v>17</v>
      </c>
      <c r="C12" s="3" t="s">
        <v>38</v>
      </c>
      <c r="D12" s="3" t="s">
        <v>39</v>
      </c>
      <c r="E12" s="15">
        <v>1200</v>
      </c>
      <c r="F12" s="4" t="s">
        <v>20</v>
      </c>
      <c r="G12" s="5" t="s">
        <v>21</v>
      </c>
      <c r="H12" s="3">
        <v>8</v>
      </c>
      <c r="I12" s="5" t="s">
        <v>20</v>
      </c>
      <c r="J12" s="5">
        <v>0</v>
      </c>
      <c r="K12" s="5">
        <v>2.5</v>
      </c>
      <c r="L12" s="5">
        <v>3</v>
      </c>
      <c r="M12" s="59">
        <v>46094</v>
      </c>
      <c r="N12" s="12"/>
      <c r="O12" s="12"/>
      <c r="P12" s="12"/>
      <c r="Q12" s="12"/>
    </row>
    <row r="13" spans="1:17" customFormat="1">
      <c r="A13" s="12">
        <v>12</v>
      </c>
      <c r="B13" s="3" t="s">
        <v>17</v>
      </c>
      <c r="C13" s="39" t="s">
        <v>40</v>
      </c>
      <c r="D13" s="33" t="s">
        <v>29</v>
      </c>
      <c r="E13" s="15">
        <v>2000</v>
      </c>
      <c r="F13" s="4" t="s">
        <v>20</v>
      </c>
      <c r="G13" s="5" t="s">
        <v>21</v>
      </c>
      <c r="H13" s="33">
        <v>0</v>
      </c>
      <c r="I13" s="5" t="s">
        <v>20</v>
      </c>
      <c r="J13" s="5" t="s">
        <v>41</v>
      </c>
      <c r="K13" s="5">
        <v>0</v>
      </c>
      <c r="L13" s="5">
        <v>0</v>
      </c>
      <c r="M13" s="59">
        <v>46094</v>
      </c>
      <c r="N13" s="12"/>
      <c r="O13" s="12"/>
      <c r="P13" s="12"/>
      <c r="Q13" s="12"/>
    </row>
    <row r="14" spans="1:17" customFormat="1">
      <c r="A14" s="12">
        <v>13</v>
      </c>
      <c r="B14" s="3" t="s">
        <v>17</v>
      </c>
      <c r="C14" s="39" t="s">
        <v>42</v>
      </c>
      <c r="D14" s="33" t="s">
        <v>19</v>
      </c>
      <c r="E14" s="15">
        <v>1100</v>
      </c>
      <c r="F14" s="4" t="s">
        <v>20</v>
      </c>
      <c r="G14" s="5" t="s">
        <v>21</v>
      </c>
      <c r="H14" s="3">
        <v>0</v>
      </c>
      <c r="I14" s="5" t="s">
        <v>20</v>
      </c>
      <c r="J14" s="5" t="s">
        <v>41</v>
      </c>
      <c r="K14" s="5">
        <v>5</v>
      </c>
      <c r="L14" s="5">
        <v>0</v>
      </c>
      <c r="M14" s="59">
        <v>46094</v>
      </c>
      <c r="N14" s="12"/>
      <c r="O14" s="12"/>
      <c r="P14" s="12"/>
      <c r="Q14" s="12"/>
    </row>
    <row r="15" spans="1:17" customFormat="1">
      <c r="A15" s="12">
        <v>14</v>
      </c>
      <c r="B15" s="3" t="s">
        <v>17</v>
      </c>
      <c r="C15" s="3" t="s">
        <v>43</v>
      </c>
      <c r="D15" s="33" t="s">
        <v>44</v>
      </c>
      <c r="E15" s="15">
        <v>500</v>
      </c>
      <c r="F15" s="4" t="s">
        <v>20</v>
      </c>
      <c r="G15" s="5" t="s">
        <v>21</v>
      </c>
      <c r="H15" s="3">
        <v>0</v>
      </c>
      <c r="I15" s="5" t="s">
        <v>20</v>
      </c>
      <c r="J15" s="5">
        <v>0</v>
      </c>
      <c r="K15" s="5">
        <v>0</v>
      </c>
      <c r="L15" s="5">
        <v>0</v>
      </c>
      <c r="M15" s="59">
        <v>46094</v>
      </c>
      <c r="N15" s="12"/>
      <c r="O15" s="12"/>
      <c r="P15" s="12"/>
      <c r="Q15" s="12"/>
    </row>
    <row r="16" spans="1:17" customFormat="1">
      <c r="A16" s="12">
        <v>15</v>
      </c>
      <c r="B16" s="3" t="s">
        <v>17</v>
      </c>
      <c r="C16" s="39" t="s">
        <v>45</v>
      </c>
      <c r="D16" s="33" t="s">
        <v>46</v>
      </c>
      <c r="E16" s="15">
        <v>5000</v>
      </c>
      <c r="F16" s="4" t="s">
        <v>20</v>
      </c>
      <c r="G16" s="5" t="s">
        <v>21</v>
      </c>
      <c r="H16" s="33">
        <v>12</v>
      </c>
      <c r="I16" s="5" t="s">
        <v>20</v>
      </c>
      <c r="J16" s="5">
        <v>0</v>
      </c>
      <c r="K16" s="5">
        <v>4</v>
      </c>
      <c r="L16" s="5">
        <v>3</v>
      </c>
      <c r="M16" s="59">
        <v>46094</v>
      </c>
      <c r="N16" s="12"/>
      <c r="O16" s="12"/>
      <c r="P16" s="12"/>
      <c r="Q16" s="12"/>
    </row>
    <row r="17" spans="1:17" customFormat="1">
      <c r="A17" s="12">
        <v>16</v>
      </c>
      <c r="B17" s="3" t="s">
        <v>17</v>
      </c>
      <c r="C17" s="3" t="s">
        <v>47</v>
      </c>
      <c r="D17" s="33" t="s">
        <v>46</v>
      </c>
      <c r="E17" s="15">
        <v>500</v>
      </c>
      <c r="F17" s="4" t="s">
        <v>20</v>
      </c>
      <c r="G17" s="5" t="s">
        <v>21</v>
      </c>
      <c r="H17" s="3">
        <v>0</v>
      </c>
      <c r="I17" s="5" t="s">
        <v>20</v>
      </c>
      <c r="J17" s="5" t="s">
        <v>41</v>
      </c>
      <c r="K17" s="5">
        <v>1</v>
      </c>
      <c r="L17" s="5">
        <v>4</v>
      </c>
      <c r="M17" s="59">
        <v>46094</v>
      </c>
      <c r="N17" s="12"/>
      <c r="O17" s="12"/>
      <c r="P17" s="12"/>
      <c r="Q17" s="12"/>
    </row>
    <row r="18" spans="1:17" customFormat="1">
      <c r="A18" s="12">
        <v>17</v>
      </c>
      <c r="B18" s="3" t="s">
        <v>17</v>
      </c>
      <c r="C18" s="3" t="s">
        <v>48</v>
      </c>
      <c r="D18" s="33" t="s">
        <v>49</v>
      </c>
      <c r="E18" s="15">
        <v>5000</v>
      </c>
      <c r="F18" s="4" t="s">
        <v>20</v>
      </c>
      <c r="G18" s="5" t="s">
        <v>21</v>
      </c>
      <c r="H18" s="3">
        <v>0</v>
      </c>
      <c r="I18" s="5" t="s">
        <v>20</v>
      </c>
      <c r="J18" s="5">
        <v>0</v>
      </c>
      <c r="K18" s="5">
        <v>26</v>
      </c>
      <c r="L18" s="5">
        <v>2</v>
      </c>
      <c r="M18" s="59">
        <v>46094</v>
      </c>
      <c r="N18" s="12"/>
      <c r="O18" s="12"/>
      <c r="P18" s="12"/>
      <c r="Q18" s="12"/>
    </row>
    <row r="19" spans="1:17" customFormat="1">
      <c r="A19" s="12">
        <v>18</v>
      </c>
      <c r="B19" s="3" t="s">
        <v>17</v>
      </c>
      <c r="C19" s="39" t="s">
        <v>50</v>
      </c>
      <c r="D19" s="33" t="s">
        <v>51</v>
      </c>
      <c r="E19" s="15">
        <v>40000</v>
      </c>
      <c r="F19" s="4" t="s">
        <v>25</v>
      </c>
      <c r="G19" s="5" t="s">
        <v>52</v>
      </c>
      <c r="H19" s="3">
        <v>0</v>
      </c>
      <c r="I19" s="5" t="s">
        <v>25</v>
      </c>
      <c r="J19" s="5">
        <v>0</v>
      </c>
      <c r="K19" s="5">
        <v>0</v>
      </c>
      <c r="L19" s="5">
        <v>15</v>
      </c>
      <c r="M19" s="59">
        <v>46094</v>
      </c>
      <c r="N19" s="12"/>
      <c r="O19" s="12"/>
      <c r="P19" s="12"/>
      <c r="Q19" s="12"/>
    </row>
    <row r="20" spans="1:17">
      <c r="A20" s="12">
        <v>19</v>
      </c>
      <c r="B20" s="5" t="s">
        <v>53</v>
      </c>
      <c r="C20" s="34" t="s">
        <v>54</v>
      </c>
      <c r="D20" s="3" t="s">
        <v>55</v>
      </c>
      <c r="E20" s="41">
        <v>2500</v>
      </c>
      <c r="F20" s="4" t="s">
        <v>20</v>
      </c>
      <c r="G20" s="5" t="s">
        <v>21</v>
      </c>
      <c r="H20" s="32">
        <v>3</v>
      </c>
      <c r="I20" s="5" t="s">
        <v>20</v>
      </c>
      <c r="J20" s="5">
        <v>0</v>
      </c>
      <c r="K20" s="5">
        <f>76/19</f>
        <v>4</v>
      </c>
      <c r="L20" s="5">
        <v>0</v>
      </c>
      <c r="M20" s="59">
        <v>46097</v>
      </c>
      <c r="N20" s="5"/>
      <c r="O20" s="5"/>
      <c r="P20" s="5"/>
      <c r="Q20" s="5"/>
    </row>
    <row r="21" spans="1:17">
      <c r="A21" s="12">
        <v>20</v>
      </c>
      <c r="B21" s="5" t="s">
        <v>53</v>
      </c>
      <c r="C21" s="34" t="s">
        <v>56</v>
      </c>
      <c r="D21" s="3" t="s">
        <v>57</v>
      </c>
      <c r="E21" s="41">
        <v>3000</v>
      </c>
      <c r="F21" s="4" t="s">
        <v>20</v>
      </c>
      <c r="G21" s="5" t="s">
        <v>21</v>
      </c>
      <c r="H21" s="5">
        <v>0</v>
      </c>
      <c r="I21" s="5" t="s">
        <v>25</v>
      </c>
      <c r="J21" s="5">
        <v>0</v>
      </c>
      <c r="K21" s="5">
        <v>0</v>
      </c>
      <c r="L21" s="5">
        <v>15</v>
      </c>
      <c r="M21" s="5" t="s">
        <v>58</v>
      </c>
      <c r="N21" s="5"/>
      <c r="O21" s="5"/>
      <c r="P21" s="5"/>
      <c r="Q21" s="5"/>
    </row>
    <row r="22" spans="1:17">
      <c r="A22" s="12">
        <v>21</v>
      </c>
      <c r="B22" s="32" t="s">
        <v>53</v>
      </c>
      <c r="C22" s="33" t="s">
        <v>59</v>
      </c>
      <c r="D22" s="33" t="s">
        <v>60</v>
      </c>
      <c r="E22" s="41">
        <v>500</v>
      </c>
      <c r="F22" s="4" t="s">
        <v>20</v>
      </c>
      <c r="G22" s="5" t="s">
        <v>21</v>
      </c>
      <c r="H22" s="5">
        <v>3</v>
      </c>
      <c r="I22" s="5" t="s">
        <v>20</v>
      </c>
      <c r="J22" s="5">
        <v>0</v>
      </c>
      <c r="K22" s="5">
        <v>3</v>
      </c>
      <c r="L22" s="5">
        <v>0</v>
      </c>
      <c r="M22" s="59">
        <v>46097</v>
      </c>
      <c r="N22" s="5"/>
      <c r="O22" s="5"/>
      <c r="P22" s="5"/>
      <c r="Q22" s="5"/>
    </row>
    <row r="23" spans="1:17">
      <c r="A23" s="12">
        <v>22</v>
      </c>
      <c r="B23" s="32" t="s">
        <v>53</v>
      </c>
      <c r="C23" s="33" t="s">
        <v>61</v>
      </c>
      <c r="D23" s="33" t="s">
        <v>62</v>
      </c>
      <c r="E23" s="41">
        <v>250</v>
      </c>
      <c r="F23" s="4" t="s">
        <v>20</v>
      </c>
      <c r="G23" s="5" t="s">
        <v>21</v>
      </c>
      <c r="H23" s="5">
        <v>2</v>
      </c>
      <c r="I23" s="5" t="s">
        <v>20</v>
      </c>
      <c r="J23" s="5">
        <v>0</v>
      </c>
      <c r="K23" s="5">
        <v>2</v>
      </c>
      <c r="L23" s="5">
        <v>2</v>
      </c>
      <c r="M23" s="5" t="s">
        <v>58</v>
      </c>
      <c r="N23" s="5"/>
      <c r="O23" s="5"/>
      <c r="P23" s="5"/>
      <c r="Q23" s="5"/>
    </row>
    <row r="24" spans="1:17">
      <c r="A24" s="12">
        <v>23</v>
      </c>
      <c r="B24" s="5" t="s">
        <v>63</v>
      </c>
      <c r="C24" s="34" t="s">
        <v>64</v>
      </c>
      <c r="D24" s="3" t="s">
        <v>65</v>
      </c>
      <c r="E24" s="41">
        <v>100</v>
      </c>
      <c r="F24" s="4" t="s">
        <v>20</v>
      </c>
      <c r="G24" s="5" t="s">
        <v>21</v>
      </c>
      <c r="H24" s="5">
        <v>8</v>
      </c>
      <c r="I24" s="5" t="s">
        <v>20</v>
      </c>
      <c r="J24" s="5">
        <v>0</v>
      </c>
      <c r="K24" s="5">
        <v>7</v>
      </c>
      <c r="L24" s="5">
        <v>15</v>
      </c>
      <c r="M24" s="5" t="s">
        <v>58</v>
      </c>
      <c r="N24" s="5"/>
      <c r="O24" s="5"/>
      <c r="P24" s="5"/>
      <c r="Q24" s="5"/>
    </row>
    <row r="25" spans="1:17">
      <c r="A25" s="12">
        <v>24</v>
      </c>
      <c r="B25" s="5" t="s">
        <v>66</v>
      </c>
      <c r="C25" s="34" t="s">
        <v>67</v>
      </c>
      <c r="D25" s="3" t="s">
        <v>68</v>
      </c>
      <c r="E25" s="41">
        <v>250</v>
      </c>
      <c r="F25" s="4" t="s">
        <v>20</v>
      </c>
      <c r="G25" s="5" t="s">
        <v>21</v>
      </c>
      <c r="H25" s="5">
        <v>0</v>
      </c>
      <c r="I25" s="5" t="s">
        <v>25</v>
      </c>
      <c r="J25" s="5">
        <v>0</v>
      </c>
      <c r="K25" s="5">
        <v>0</v>
      </c>
      <c r="L25" s="5">
        <v>15</v>
      </c>
      <c r="M25" s="5" t="s">
        <v>58</v>
      </c>
      <c r="N25" s="5"/>
      <c r="O25" s="5"/>
      <c r="P25" s="5"/>
      <c r="Q25" s="5"/>
    </row>
    <row r="26" spans="1:17">
      <c r="A26" s="12">
        <v>25</v>
      </c>
      <c r="B26" s="5" t="s">
        <v>69</v>
      </c>
      <c r="C26" s="34" t="s">
        <v>70</v>
      </c>
      <c r="D26" s="33" t="s">
        <v>71</v>
      </c>
      <c r="E26" s="41">
        <v>250</v>
      </c>
      <c r="F26" s="4" t="s">
        <v>25</v>
      </c>
      <c r="G26" s="5" t="s">
        <v>72</v>
      </c>
      <c r="H26" s="5">
        <v>0</v>
      </c>
      <c r="I26" s="5" t="s">
        <v>20</v>
      </c>
      <c r="J26" s="5" t="s">
        <v>73</v>
      </c>
      <c r="K26" s="5">
        <v>0</v>
      </c>
      <c r="L26" s="5">
        <v>15</v>
      </c>
      <c r="M26" s="5" t="s">
        <v>58</v>
      </c>
      <c r="N26" s="5"/>
      <c r="O26" s="5"/>
      <c r="P26" s="5"/>
      <c r="Q26" s="5"/>
    </row>
    <row r="27" spans="1:17">
      <c r="A27" s="12">
        <v>26</v>
      </c>
      <c r="B27" s="3" t="s">
        <v>74</v>
      </c>
      <c r="C27" s="5" t="s">
        <v>75</v>
      </c>
      <c r="D27" s="33" t="s">
        <v>76</v>
      </c>
      <c r="E27" s="41">
        <v>3000</v>
      </c>
      <c r="F27" s="4" t="s">
        <v>20</v>
      </c>
      <c r="G27" s="3" t="s">
        <v>21</v>
      </c>
      <c r="H27" s="3">
        <v>6</v>
      </c>
      <c r="I27" s="5" t="s">
        <v>20</v>
      </c>
      <c r="J27" s="5">
        <v>0</v>
      </c>
      <c r="K27" s="3">
        <v>4</v>
      </c>
      <c r="L27" s="11">
        <v>2</v>
      </c>
      <c r="M27" s="5" t="s">
        <v>58</v>
      </c>
      <c r="N27" s="5"/>
      <c r="O27" s="5"/>
      <c r="P27" s="5"/>
      <c r="Q27" s="5"/>
    </row>
    <row r="28" spans="1:17" ht="29.25">
      <c r="A28" s="12">
        <v>27</v>
      </c>
      <c r="B28" s="3" t="s">
        <v>74</v>
      </c>
      <c r="C28" s="3" t="s">
        <v>77</v>
      </c>
      <c r="D28" s="4" t="s">
        <v>78</v>
      </c>
      <c r="E28" s="41">
        <v>35000</v>
      </c>
      <c r="F28" s="4" t="s">
        <v>20</v>
      </c>
      <c r="G28" s="3" t="s">
        <v>21</v>
      </c>
      <c r="H28" s="3">
        <v>0</v>
      </c>
      <c r="I28" s="5" t="s">
        <v>25</v>
      </c>
      <c r="J28" s="3">
        <v>0</v>
      </c>
      <c r="K28" s="3">
        <v>0</v>
      </c>
      <c r="L28" s="3">
        <v>15</v>
      </c>
      <c r="M28" s="5" t="s">
        <v>58</v>
      </c>
      <c r="N28" s="5"/>
      <c r="O28" s="5"/>
      <c r="P28" s="5"/>
      <c r="Q28" s="5"/>
    </row>
    <row r="29" spans="1:17">
      <c r="A29" s="12">
        <v>28</v>
      </c>
      <c r="B29" s="3" t="s">
        <v>74</v>
      </c>
      <c r="C29" s="34" t="s">
        <v>79</v>
      </c>
      <c r="D29" s="33" t="s">
        <v>80</v>
      </c>
      <c r="E29" s="41">
        <v>30000</v>
      </c>
      <c r="F29" s="4" t="s">
        <v>25</v>
      </c>
      <c r="G29" s="5" t="s">
        <v>35</v>
      </c>
      <c r="H29" s="3">
        <v>0</v>
      </c>
      <c r="I29" s="5" t="s">
        <v>25</v>
      </c>
      <c r="J29" s="5">
        <v>0</v>
      </c>
      <c r="K29" s="3">
        <v>0</v>
      </c>
      <c r="L29" s="11">
        <v>10</v>
      </c>
      <c r="M29" s="5" t="s">
        <v>58</v>
      </c>
      <c r="N29" s="5"/>
      <c r="O29" s="5"/>
      <c r="P29" s="5"/>
      <c r="Q29" s="5"/>
    </row>
    <row r="30" spans="1:17">
      <c r="A30" s="12">
        <v>29</v>
      </c>
      <c r="B30" s="3" t="s">
        <v>74</v>
      </c>
      <c r="C30" s="3" t="s">
        <v>81</v>
      </c>
      <c r="D30" s="33" t="s">
        <v>82</v>
      </c>
      <c r="E30" s="41">
        <f>7000+28000</f>
        <v>35000</v>
      </c>
      <c r="F30" s="4" t="s">
        <v>20</v>
      </c>
      <c r="G30" s="3" t="s">
        <v>21</v>
      </c>
      <c r="H30" s="3">
        <v>0</v>
      </c>
      <c r="I30" s="5" t="s">
        <v>25</v>
      </c>
      <c r="J30" s="5">
        <v>0</v>
      </c>
      <c r="K30" s="3">
        <v>0</v>
      </c>
      <c r="L30" s="3">
        <v>11</v>
      </c>
      <c r="M30" s="5" t="s">
        <v>58</v>
      </c>
      <c r="N30" s="5"/>
      <c r="O30" s="5"/>
      <c r="P30" s="5"/>
      <c r="Q30" s="5"/>
    </row>
    <row r="31" spans="1:17">
      <c r="A31" s="12">
        <v>30</v>
      </c>
      <c r="B31" s="3" t="s">
        <v>74</v>
      </c>
      <c r="C31" s="34" t="s">
        <v>83</v>
      </c>
      <c r="D31" s="33" t="s">
        <v>84</v>
      </c>
      <c r="E31" s="41">
        <v>600</v>
      </c>
      <c r="F31" s="4" t="s">
        <v>20</v>
      </c>
      <c r="G31" s="3" t="s">
        <v>21</v>
      </c>
      <c r="H31" s="3">
        <v>1</v>
      </c>
      <c r="I31" s="5" t="s">
        <v>20</v>
      </c>
      <c r="J31" s="5">
        <v>0</v>
      </c>
      <c r="K31" s="3">
        <v>2</v>
      </c>
      <c r="L31" s="5">
        <v>0</v>
      </c>
      <c r="M31" s="59">
        <v>46097</v>
      </c>
      <c r="N31" s="5"/>
      <c r="O31" s="5"/>
      <c r="P31" s="5"/>
      <c r="Q31" s="5"/>
    </row>
    <row r="32" spans="1:17">
      <c r="A32" s="12">
        <v>31</v>
      </c>
      <c r="B32" s="3" t="s">
        <v>85</v>
      </c>
      <c r="C32" s="3" t="s">
        <v>86</v>
      </c>
      <c r="D32" s="33"/>
      <c r="E32" s="41">
        <v>200</v>
      </c>
      <c r="F32" s="4" t="s">
        <v>25</v>
      </c>
      <c r="G32" s="4" t="s">
        <v>25</v>
      </c>
      <c r="H32" s="33">
        <v>4</v>
      </c>
      <c r="I32" s="5" t="s">
        <v>20</v>
      </c>
      <c r="J32" s="5">
        <v>0</v>
      </c>
      <c r="K32" s="3">
        <v>2</v>
      </c>
      <c r="L32" s="3">
        <v>5</v>
      </c>
      <c r="M32" s="5" t="s">
        <v>58</v>
      </c>
      <c r="N32" s="5"/>
      <c r="O32" s="5"/>
      <c r="P32" s="5"/>
      <c r="Q32" s="5"/>
    </row>
    <row r="33" spans="1:17">
      <c r="A33" s="12">
        <v>32</v>
      </c>
      <c r="B33" s="3" t="s">
        <v>74</v>
      </c>
      <c r="C33" s="3" t="s">
        <v>87</v>
      </c>
      <c r="D33" s="33" t="s">
        <v>88</v>
      </c>
      <c r="E33" s="41">
        <v>5000</v>
      </c>
      <c r="F33" s="4" t="s">
        <v>20</v>
      </c>
      <c r="G33" s="3" t="s">
        <v>21</v>
      </c>
      <c r="H33" s="33">
        <v>6</v>
      </c>
      <c r="I33" s="5" t="s">
        <v>20</v>
      </c>
      <c r="J33" s="5">
        <v>0</v>
      </c>
      <c r="K33" s="3">
        <v>3</v>
      </c>
      <c r="L33" s="3">
        <v>3</v>
      </c>
      <c r="M33" s="5" t="s">
        <v>58</v>
      </c>
      <c r="N33" s="5"/>
      <c r="O33" s="5"/>
      <c r="P33" s="5"/>
      <c r="Q33" s="5"/>
    </row>
    <row r="34" spans="1:17">
      <c r="A34" s="12">
        <v>33</v>
      </c>
      <c r="B34" s="3" t="s">
        <v>74</v>
      </c>
      <c r="C34" s="3" t="s">
        <v>89</v>
      </c>
      <c r="D34" s="33"/>
      <c r="E34" s="41">
        <v>3500</v>
      </c>
      <c r="F34" s="4" t="s">
        <v>20</v>
      </c>
      <c r="G34" s="3" t="s">
        <v>21</v>
      </c>
      <c r="H34" s="33">
        <v>8</v>
      </c>
      <c r="I34" s="5" t="s">
        <v>20</v>
      </c>
      <c r="J34" s="5">
        <v>0</v>
      </c>
      <c r="K34" s="3">
        <v>3</v>
      </c>
      <c r="L34" s="3">
        <v>4</v>
      </c>
      <c r="M34" s="5" t="s">
        <v>58</v>
      </c>
      <c r="N34" s="5"/>
      <c r="O34" s="5"/>
      <c r="P34" s="5"/>
      <c r="Q34" s="5"/>
    </row>
    <row r="35" spans="1:17">
      <c r="A35" s="12">
        <v>34</v>
      </c>
      <c r="B35" s="3" t="s">
        <v>74</v>
      </c>
      <c r="C35" s="3" t="s">
        <v>90</v>
      </c>
      <c r="D35" s="33" t="s">
        <v>91</v>
      </c>
      <c r="E35" s="41">
        <v>250</v>
      </c>
      <c r="F35" s="4" t="s">
        <v>25</v>
      </c>
      <c r="G35" s="4" t="s">
        <v>25</v>
      </c>
      <c r="H35" s="3">
        <v>1</v>
      </c>
      <c r="I35" s="5" t="s">
        <v>20</v>
      </c>
      <c r="J35" s="5">
        <v>0</v>
      </c>
      <c r="K35" s="3">
        <v>1</v>
      </c>
      <c r="L35" s="3">
        <v>1</v>
      </c>
      <c r="M35" s="5" t="s">
        <v>58</v>
      </c>
      <c r="N35" s="5"/>
      <c r="O35" s="5"/>
      <c r="P35" s="5"/>
      <c r="Q35" s="5"/>
    </row>
    <row r="36" spans="1:17">
      <c r="A36" s="12">
        <v>35</v>
      </c>
      <c r="B36" s="3" t="s">
        <v>92</v>
      </c>
      <c r="C36" s="34" t="s">
        <v>93</v>
      </c>
      <c r="D36" s="33" t="s">
        <v>94</v>
      </c>
      <c r="E36" s="41">
        <v>2000</v>
      </c>
      <c r="F36" s="4" t="s">
        <v>25</v>
      </c>
      <c r="G36" s="4" t="s">
        <v>25</v>
      </c>
      <c r="H36" s="33">
        <v>0</v>
      </c>
      <c r="I36" s="5" t="s">
        <v>20</v>
      </c>
      <c r="J36" s="5" t="s">
        <v>41</v>
      </c>
      <c r="K36" s="3">
        <v>3</v>
      </c>
      <c r="L36" s="5">
        <v>0</v>
      </c>
      <c r="M36" s="59">
        <v>46097</v>
      </c>
      <c r="N36" s="5"/>
      <c r="O36" s="5"/>
      <c r="P36" s="5"/>
      <c r="Q36" s="5"/>
    </row>
    <row r="37" spans="1:17">
      <c r="A37" s="12">
        <v>36</v>
      </c>
      <c r="B37" s="3" t="s">
        <v>92</v>
      </c>
      <c r="C37" s="34" t="s">
        <v>95</v>
      </c>
      <c r="D37" s="33" t="s">
        <v>96</v>
      </c>
      <c r="E37" s="41">
        <v>1000</v>
      </c>
      <c r="F37" s="4" t="s">
        <v>20</v>
      </c>
      <c r="G37" s="3" t="s">
        <v>21</v>
      </c>
      <c r="H37" s="3">
        <v>1</v>
      </c>
      <c r="I37" s="5" t="s">
        <v>20</v>
      </c>
      <c r="J37" s="5">
        <v>0</v>
      </c>
      <c r="K37" s="3">
        <v>2</v>
      </c>
      <c r="L37" s="3">
        <v>1</v>
      </c>
      <c r="M37" s="5" t="s">
        <v>58</v>
      </c>
      <c r="N37" s="5"/>
      <c r="O37" s="5"/>
      <c r="P37" s="5"/>
      <c r="Q37" s="5"/>
    </row>
    <row r="38" spans="1:17">
      <c r="A38" s="12">
        <v>37</v>
      </c>
      <c r="B38" s="3" t="s">
        <v>97</v>
      </c>
      <c r="C38" s="34" t="s">
        <v>98</v>
      </c>
      <c r="D38" s="33" t="s">
        <v>99</v>
      </c>
      <c r="E38" s="41"/>
      <c r="F38" s="4" t="s">
        <v>25</v>
      </c>
      <c r="G38" s="3" t="s">
        <v>100</v>
      </c>
      <c r="H38" s="33">
        <v>4</v>
      </c>
      <c r="I38" s="5" t="s">
        <v>20</v>
      </c>
      <c r="J38" s="5">
        <v>0</v>
      </c>
      <c r="K38" s="3">
        <v>2</v>
      </c>
      <c r="L38" s="3">
        <v>2</v>
      </c>
      <c r="M38" s="5" t="s">
        <v>58</v>
      </c>
      <c r="N38" s="5"/>
      <c r="O38" s="5"/>
      <c r="P38" s="5"/>
      <c r="Q38" s="5"/>
    </row>
    <row r="39" spans="1:17">
      <c r="A39" s="12">
        <v>38</v>
      </c>
      <c r="B39" s="3" t="s">
        <v>97</v>
      </c>
      <c r="C39" s="14" t="s">
        <v>101</v>
      </c>
      <c r="D39" s="33"/>
      <c r="E39" s="41">
        <v>600</v>
      </c>
      <c r="F39" s="4" t="s">
        <v>20</v>
      </c>
      <c r="G39" s="3" t="s">
        <v>21</v>
      </c>
      <c r="H39" s="33">
        <v>9</v>
      </c>
      <c r="I39" s="5" t="s">
        <v>20</v>
      </c>
      <c r="J39" s="5">
        <v>0</v>
      </c>
      <c r="K39" s="3">
        <v>3</v>
      </c>
      <c r="L39" s="3">
        <v>3</v>
      </c>
      <c r="M39" s="5" t="s">
        <v>58</v>
      </c>
      <c r="N39" s="5"/>
      <c r="O39" s="5"/>
      <c r="P39" s="5"/>
      <c r="Q39" s="5"/>
    </row>
    <row r="40" spans="1:17">
      <c r="A40" s="12">
        <v>39</v>
      </c>
      <c r="B40" s="3" t="s">
        <v>102</v>
      </c>
      <c r="C40" s="5" t="s">
        <v>103</v>
      </c>
      <c r="D40" s="33" t="s">
        <v>104</v>
      </c>
      <c r="E40" s="42">
        <v>2500</v>
      </c>
      <c r="F40" s="4" t="s">
        <v>20</v>
      </c>
      <c r="G40" s="3" t="s">
        <v>21</v>
      </c>
      <c r="H40" s="33">
        <v>28</v>
      </c>
      <c r="I40" s="5" t="s">
        <v>20</v>
      </c>
      <c r="J40" s="3">
        <v>0</v>
      </c>
      <c r="K40" s="3">
        <v>6</v>
      </c>
      <c r="L40" s="3">
        <v>9</v>
      </c>
      <c r="M40" s="5" t="s">
        <v>58</v>
      </c>
      <c r="N40" s="5"/>
      <c r="O40" s="5"/>
      <c r="P40" s="5"/>
      <c r="Q40" s="5"/>
    </row>
    <row r="41" spans="1:17">
      <c r="A41" s="12">
        <v>40</v>
      </c>
      <c r="B41" s="3" t="s">
        <v>102</v>
      </c>
      <c r="C41" s="5" t="s">
        <v>105</v>
      </c>
      <c r="D41" s="33" t="s">
        <v>106</v>
      </c>
      <c r="E41" s="42">
        <v>2000</v>
      </c>
      <c r="F41" s="4" t="s">
        <v>20</v>
      </c>
      <c r="G41" s="3" t="s">
        <v>21</v>
      </c>
      <c r="H41" s="33">
        <v>21</v>
      </c>
      <c r="I41" s="5" t="s">
        <v>20</v>
      </c>
      <c r="J41" s="3">
        <v>0</v>
      </c>
      <c r="K41" s="3">
        <v>4</v>
      </c>
      <c r="L41" s="3">
        <v>1</v>
      </c>
      <c r="M41" s="5" t="s">
        <v>58</v>
      </c>
      <c r="N41" s="5"/>
      <c r="O41" s="5"/>
      <c r="P41" s="5"/>
      <c r="Q41" s="5"/>
    </row>
    <row r="42" spans="1:17">
      <c r="A42" s="12">
        <v>41</v>
      </c>
      <c r="B42" s="3" t="s">
        <v>102</v>
      </c>
      <c r="C42" s="60" t="s">
        <v>107</v>
      </c>
      <c r="D42" s="33" t="s">
        <v>108</v>
      </c>
      <c r="E42" s="42">
        <v>15000</v>
      </c>
      <c r="F42" s="4" t="s">
        <v>20</v>
      </c>
      <c r="G42" s="3" t="s">
        <v>21</v>
      </c>
      <c r="H42" s="3">
        <v>30</v>
      </c>
      <c r="I42" s="5" t="s">
        <v>20</v>
      </c>
      <c r="J42" s="3">
        <v>0</v>
      </c>
      <c r="K42" s="3">
        <v>10</v>
      </c>
      <c r="L42" s="3">
        <v>3</v>
      </c>
      <c r="M42" s="5" t="s">
        <v>58</v>
      </c>
      <c r="N42" s="5"/>
      <c r="O42" s="5"/>
      <c r="P42" s="5"/>
      <c r="Q42" s="5"/>
    </row>
    <row r="43" spans="1:17">
      <c r="A43" s="12">
        <v>42</v>
      </c>
      <c r="B43" s="3" t="s">
        <v>109</v>
      </c>
      <c r="C43" s="61" t="s">
        <v>110</v>
      </c>
      <c r="D43" s="33" t="s">
        <v>108</v>
      </c>
      <c r="E43" s="42">
        <v>900</v>
      </c>
      <c r="F43" s="4" t="s">
        <v>20</v>
      </c>
      <c r="G43" s="3" t="s">
        <v>21</v>
      </c>
      <c r="H43" s="33">
        <v>5</v>
      </c>
      <c r="I43" s="5" t="s">
        <v>20</v>
      </c>
      <c r="J43" s="3">
        <v>0</v>
      </c>
      <c r="K43" s="3">
        <v>1</v>
      </c>
      <c r="L43" s="3">
        <v>3</v>
      </c>
      <c r="M43" s="5" t="s">
        <v>58</v>
      </c>
      <c r="N43" s="5"/>
      <c r="O43" s="5"/>
      <c r="P43" s="5"/>
      <c r="Q43" s="5"/>
    </row>
    <row r="44" spans="1:17">
      <c r="A44" s="12">
        <v>43</v>
      </c>
      <c r="B44" s="3" t="s">
        <v>109</v>
      </c>
      <c r="C44" s="35" t="s">
        <v>111</v>
      </c>
      <c r="D44" s="3" t="s">
        <v>108</v>
      </c>
      <c r="E44" s="42">
        <v>900</v>
      </c>
      <c r="F44" s="4" t="s">
        <v>20</v>
      </c>
      <c r="G44" s="3" t="s">
        <v>21</v>
      </c>
      <c r="H44" s="33">
        <v>15</v>
      </c>
      <c r="I44" s="5" t="s">
        <v>20</v>
      </c>
      <c r="J44" s="3">
        <v>0</v>
      </c>
      <c r="K44" s="3">
        <v>2</v>
      </c>
      <c r="L44" s="3">
        <v>3</v>
      </c>
      <c r="M44" s="5" t="s">
        <v>58</v>
      </c>
      <c r="N44" s="5"/>
      <c r="O44" s="5"/>
      <c r="P44" s="5"/>
      <c r="Q44" s="5"/>
    </row>
    <row r="45" spans="1:17">
      <c r="A45" s="12">
        <v>44</v>
      </c>
      <c r="B45" s="3" t="s">
        <v>102</v>
      </c>
      <c r="C45" s="35" t="s">
        <v>112</v>
      </c>
      <c r="D45" s="33" t="s">
        <v>108</v>
      </c>
      <c r="E45" s="42">
        <v>1613</v>
      </c>
      <c r="F45" s="4" t="s">
        <v>25</v>
      </c>
      <c r="G45" s="3" t="s">
        <v>113</v>
      </c>
      <c r="H45" s="33">
        <v>5</v>
      </c>
      <c r="I45" s="5" t="s">
        <v>20</v>
      </c>
      <c r="J45" s="3">
        <v>0</v>
      </c>
      <c r="K45" s="3">
        <v>5</v>
      </c>
      <c r="L45" s="3">
        <v>6</v>
      </c>
      <c r="M45" s="5" t="s">
        <v>58</v>
      </c>
      <c r="N45" s="5"/>
      <c r="O45" s="5"/>
      <c r="P45" s="5"/>
      <c r="Q45" s="5"/>
    </row>
    <row r="46" spans="1:17">
      <c r="A46" s="12">
        <v>45</v>
      </c>
      <c r="B46" s="3" t="s">
        <v>102</v>
      </c>
      <c r="C46" s="62" t="s">
        <v>114</v>
      </c>
      <c r="D46" s="33" t="s">
        <v>115</v>
      </c>
      <c r="E46" s="42">
        <v>2500</v>
      </c>
      <c r="F46" s="4" t="s">
        <v>25</v>
      </c>
      <c r="G46" s="3" t="s">
        <v>113</v>
      </c>
      <c r="H46" s="3">
        <v>8</v>
      </c>
      <c r="I46" s="5" t="s">
        <v>20</v>
      </c>
      <c r="J46" s="3">
        <v>0</v>
      </c>
      <c r="K46" s="3">
        <v>6</v>
      </c>
      <c r="L46" s="3">
        <v>1</v>
      </c>
      <c r="M46" s="5" t="s">
        <v>58</v>
      </c>
      <c r="N46" s="5"/>
      <c r="O46" s="5"/>
      <c r="P46" s="5"/>
      <c r="Q46" s="5"/>
    </row>
    <row r="47" spans="1:17">
      <c r="A47" s="12">
        <v>46</v>
      </c>
      <c r="B47" s="11" t="s">
        <v>116</v>
      </c>
      <c r="C47" s="63" t="s">
        <v>117</v>
      </c>
      <c r="D47" s="33" t="s">
        <v>118</v>
      </c>
      <c r="E47" s="43">
        <v>300</v>
      </c>
      <c r="F47" s="4" t="s">
        <v>20</v>
      </c>
      <c r="G47" s="3" t="s">
        <v>21</v>
      </c>
      <c r="H47" s="33">
        <v>4</v>
      </c>
      <c r="I47" s="5" t="s">
        <v>20</v>
      </c>
      <c r="J47" s="3">
        <v>0</v>
      </c>
      <c r="K47" s="11">
        <v>2</v>
      </c>
      <c r="L47" s="11">
        <v>2</v>
      </c>
      <c r="M47" s="5" t="s">
        <v>58</v>
      </c>
      <c r="N47" s="5"/>
      <c r="O47" s="5"/>
      <c r="P47" s="5"/>
      <c r="Q47" s="5"/>
    </row>
    <row r="48" spans="1:17">
      <c r="A48" s="12">
        <v>47</v>
      </c>
      <c r="B48" s="11" t="s">
        <v>119</v>
      </c>
      <c r="C48" s="34" t="s">
        <v>120</v>
      </c>
      <c r="D48" s="33" t="s">
        <v>121</v>
      </c>
      <c r="E48" s="43">
        <v>600</v>
      </c>
      <c r="F48" s="4" t="s">
        <v>20</v>
      </c>
      <c r="G48" s="3" t="s">
        <v>21</v>
      </c>
      <c r="H48" s="11">
        <v>2</v>
      </c>
      <c r="I48" s="5" t="s">
        <v>20</v>
      </c>
      <c r="J48" s="3">
        <v>0</v>
      </c>
      <c r="K48" s="11">
        <v>0</v>
      </c>
      <c r="L48" s="5">
        <v>0</v>
      </c>
      <c r="M48" s="59">
        <v>46097</v>
      </c>
      <c r="N48" s="5"/>
      <c r="O48" s="5"/>
      <c r="P48" s="5"/>
      <c r="Q48" s="5"/>
    </row>
    <row r="49" spans="1:17">
      <c r="A49" s="12">
        <v>48</v>
      </c>
      <c r="B49" s="3" t="s">
        <v>102</v>
      </c>
      <c r="C49" s="61" t="s">
        <v>122</v>
      </c>
      <c r="D49" s="33" t="s">
        <v>123</v>
      </c>
      <c r="E49" s="42">
        <v>1500</v>
      </c>
      <c r="F49" s="4" t="s">
        <v>20</v>
      </c>
      <c r="G49" s="3" t="s">
        <v>21</v>
      </c>
      <c r="H49" s="3">
        <v>40</v>
      </c>
      <c r="I49" s="5" t="s">
        <v>20</v>
      </c>
      <c r="J49" s="3">
        <v>0</v>
      </c>
      <c r="K49" s="3">
        <v>8</v>
      </c>
      <c r="L49" s="3">
        <v>7</v>
      </c>
      <c r="M49" s="5" t="s">
        <v>58</v>
      </c>
      <c r="N49" s="5"/>
      <c r="O49" s="5"/>
      <c r="P49" s="5"/>
      <c r="Q49" s="5"/>
    </row>
    <row r="50" spans="1:17">
      <c r="A50" s="12">
        <v>49</v>
      </c>
      <c r="B50" s="3" t="s">
        <v>102</v>
      </c>
      <c r="C50" s="5" t="s">
        <v>124</v>
      </c>
      <c r="D50" s="33" t="s">
        <v>123</v>
      </c>
      <c r="E50" s="42"/>
      <c r="F50" s="4" t="s">
        <v>20</v>
      </c>
      <c r="G50" s="3" t="s">
        <v>21</v>
      </c>
      <c r="H50" s="3">
        <v>50</v>
      </c>
      <c r="I50" s="5" t="s">
        <v>20</v>
      </c>
      <c r="J50" s="3">
        <v>0</v>
      </c>
      <c r="K50" s="3">
        <v>3</v>
      </c>
      <c r="L50" s="3">
        <v>7</v>
      </c>
      <c r="M50" s="5" t="s">
        <v>58</v>
      </c>
      <c r="N50" s="5"/>
      <c r="O50" s="5"/>
      <c r="P50" s="5"/>
      <c r="Q50" s="5"/>
    </row>
    <row r="51" spans="1:17" ht="15" customHeight="1">
      <c r="A51" s="12">
        <v>50</v>
      </c>
      <c r="B51" s="3" t="s">
        <v>102</v>
      </c>
      <c r="C51" s="35" t="s">
        <v>125</v>
      </c>
      <c r="D51" s="3" t="s">
        <v>123</v>
      </c>
      <c r="E51" s="42">
        <v>1500</v>
      </c>
      <c r="F51" s="4" t="s">
        <v>20</v>
      </c>
      <c r="G51" s="3" t="s">
        <v>21</v>
      </c>
      <c r="H51" s="3">
        <v>3</v>
      </c>
      <c r="I51" s="5" t="s">
        <v>20</v>
      </c>
      <c r="J51" s="3">
        <v>0</v>
      </c>
      <c r="K51" s="3">
        <v>1</v>
      </c>
      <c r="L51" s="3">
        <v>2</v>
      </c>
      <c r="M51" s="5" t="s">
        <v>58</v>
      </c>
      <c r="N51" s="5"/>
      <c r="O51" s="5"/>
      <c r="P51" s="5"/>
      <c r="Q51" s="5"/>
    </row>
    <row r="52" spans="1:17" ht="15" customHeight="1">
      <c r="A52" s="12">
        <v>51</v>
      </c>
      <c r="B52" s="3" t="s">
        <v>102</v>
      </c>
      <c r="C52" s="35" t="s">
        <v>126</v>
      </c>
      <c r="D52" s="3" t="s">
        <v>123</v>
      </c>
      <c r="E52" s="42">
        <v>1500</v>
      </c>
      <c r="F52" s="4" t="s">
        <v>20</v>
      </c>
      <c r="G52" s="3" t="s">
        <v>21</v>
      </c>
      <c r="H52" s="3">
        <v>1</v>
      </c>
      <c r="I52" s="5" t="s">
        <v>20</v>
      </c>
      <c r="J52" s="3">
        <v>0</v>
      </c>
      <c r="K52" s="3">
        <v>2</v>
      </c>
      <c r="L52" s="3">
        <v>2</v>
      </c>
      <c r="M52" s="5" t="s">
        <v>58</v>
      </c>
      <c r="N52" s="5"/>
      <c r="O52" s="5"/>
      <c r="P52" s="5"/>
      <c r="Q52" s="5"/>
    </row>
    <row r="53" spans="1:17" ht="15" customHeight="1">
      <c r="A53" s="12">
        <v>52</v>
      </c>
      <c r="B53" s="3" t="s">
        <v>102</v>
      </c>
      <c r="C53" s="35" t="s">
        <v>127</v>
      </c>
      <c r="D53" s="33" t="s">
        <v>108</v>
      </c>
      <c r="E53" s="42">
        <v>1000</v>
      </c>
      <c r="F53" s="4" t="s">
        <v>20</v>
      </c>
      <c r="G53" s="3" t="s">
        <v>21</v>
      </c>
      <c r="H53" s="33">
        <v>5</v>
      </c>
      <c r="I53" s="5" t="s">
        <v>20</v>
      </c>
      <c r="J53" s="3">
        <v>0</v>
      </c>
      <c r="K53" s="3">
        <v>1</v>
      </c>
      <c r="L53" s="5">
        <v>0</v>
      </c>
      <c r="M53" s="59">
        <v>46097</v>
      </c>
      <c r="N53" s="5"/>
      <c r="O53" s="5"/>
      <c r="P53" s="5"/>
      <c r="Q53" s="5"/>
    </row>
    <row r="54" spans="1:17" ht="15" customHeight="1">
      <c r="A54" s="12">
        <v>53</v>
      </c>
      <c r="B54" s="3" t="s">
        <v>128</v>
      </c>
      <c r="C54" s="5" t="s">
        <v>129</v>
      </c>
      <c r="D54" s="3" t="s">
        <v>130</v>
      </c>
      <c r="E54" s="42">
        <v>20000</v>
      </c>
      <c r="F54" s="4" t="s">
        <v>20</v>
      </c>
      <c r="G54" s="3" t="s">
        <v>21</v>
      </c>
      <c r="H54" s="33">
        <v>8</v>
      </c>
      <c r="I54" s="5" t="s">
        <v>20</v>
      </c>
      <c r="J54" s="5">
        <v>0</v>
      </c>
      <c r="K54" s="64">
        <f>700/19</f>
        <v>36.842105263157897</v>
      </c>
      <c r="L54" s="3">
        <v>5</v>
      </c>
      <c r="M54" s="5" t="s">
        <v>58</v>
      </c>
      <c r="N54" s="5"/>
      <c r="O54" s="5"/>
      <c r="P54" s="5"/>
      <c r="Q54" s="5"/>
    </row>
    <row r="55" spans="1:17" ht="15" customHeight="1">
      <c r="A55" s="12">
        <v>54</v>
      </c>
      <c r="B55" s="3" t="s">
        <v>128</v>
      </c>
      <c r="C55" s="34" t="s">
        <v>131</v>
      </c>
      <c r="D55" s="33" t="s">
        <v>132</v>
      </c>
      <c r="E55" s="42">
        <v>300</v>
      </c>
      <c r="F55" s="4" t="s">
        <v>20</v>
      </c>
      <c r="G55" s="3" t="s">
        <v>21</v>
      </c>
      <c r="H55" s="3">
        <v>3</v>
      </c>
      <c r="I55" s="5" t="s">
        <v>20</v>
      </c>
      <c r="J55" s="5">
        <v>0</v>
      </c>
      <c r="K55" s="13">
        <f>60/19</f>
        <v>3.1578947368421053</v>
      </c>
      <c r="L55" s="3">
        <v>5</v>
      </c>
      <c r="M55" s="5" t="s">
        <v>58</v>
      </c>
      <c r="N55" s="5"/>
      <c r="O55" s="5"/>
      <c r="P55" s="5"/>
      <c r="Q55" s="5"/>
    </row>
    <row r="56" spans="1:17" ht="15" customHeight="1">
      <c r="A56" s="12">
        <v>55</v>
      </c>
      <c r="B56" s="3" t="s">
        <v>128</v>
      </c>
      <c r="C56" s="5" t="s">
        <v>133</v>
      </c>
      <c r="D56" s="33" t="s">
        <v>134</v>
      </c>
      <c r="E56" s="42">
        <v>3000</v>
      </c>
      <c r="F56" s="4" t="s">
        <v>20</v>
      </c>
      <c r="G56" s="3" t="s">
        <v>21</v>
      </c>
      <c r="H56" s="3">
        <v>6</v>
      </c>
      <c r="I56" s="5" t="s">
        <v>20</v>
      </c>
      <c r="J56" s="5">
        <v>0</v>
      </c>
      <c r="K56" s="13">
        <f>75/19</f>
        <v>3.9473684210526314</v>
      </c>
      <c r="L56" s="3">
        <v>5</v>
      </c>
      <c r="M56" s="5" t="s">
        <v>58</v>
      </c>
      <c r="N56" s="5"/>
      <c r="O56" s="5"/>
      <c r="P56" s="5"/>
      <c r="Q56" s="5"/>
    </row>
    <row r="57" spans="1:17" ht="15" customHeight="1">
      <c r="A57" s="12">
        <v>56</v>
      </c>
      <c r="B57" s="3" t="s">
        <v>128</v>
      </c>
      <c r="C57" s="34" t="s">
        <v>135</v>
      </c>
      <c r="D57" s="3" t="s">
        <v>136</v>
      </c>
      <c r="E57" s="42">
        <v>500</v>
      </c>
      <c r="F57" s="4" t="s">
        <v>20</v>
      </c>
      <c r="G57" s="3" t="s">
        <v>21</v>
      </c>
      <c r="H57" s="3">
        <v>4</v>
      </c>
      <c r="I57" s="5" t="s">
        <v>20</v>
      </c>
      <c r="J57" s="5">
        <v>0</v>
      </c>
      <c r="K57" s="13">
        <f>40/19</f>
        <v>2.1052631578947367</v>
      </c>
      <c r="L57" s="3">
        <v>5</v>
      </c>
      <c r="M57" s="5" t="s">
        <v>58</v>
      </c>
      <c r="N57" s="5"/>
      <c r="O57" s="5"/>
      <c r="P57" s="5"/>
      <c r="Q57" s="5"/>
    </row>
    <row r="58" spans="1:17" ht="15" customHeight="1">
      <c r="A58" s="12">
        <v>57</v>
      </c>
      <c r="B58" s="3" t="s">
        <v>137</v>
      </c>
      <c r="C58" s="5" t="s">
        <v>138</v>
      </c>
      <c r="D58" s="3" t="s">
        <v>139</v>
      </c>
      <c r="E58" s="42">
        <v>2200</v>
      </c>
      <c r="F58" s="4" t="s">
        <v>20</v>
      </c>
      <c r="G58" s="3" t="s">
        <v>21</v>
      </c>
      <c r="H58" s="3">
        <v>6</v>
      </c>
      <c r="I58" s="5" t="s">
        <v>20</v>
      </c>
      <c r="J58" s="5">
        <v>0</v>
      </c>
      <c r="K58" s="13">
        <f>180/19</f>
        <v>9.473684210526315</v>
      </c>
      <c r="L58" s="3">
        <v>5</v>
      </c>
      <c r="M58" s="5" t="s">
        <v>58</v>
      </c>
      <c r="N58" s="5"/>
      <c r="O58" s="5"/>
      <c r="P58" s="5"/>
      <c r="Q58" s="5"/>
    </row>
    <row r="59" spans="1:17" ht="15" customHeight="1">
      <c r="A59" s="12">
        <v>58</v>
      </c>
      <c r="B59" s="3" t="s">
        <v>128</v>
      </c>
      <c r="C59" s="34" t="s">
        <v>140</v>
      </c>
      <c r="D59" s="3"/>
      <c r="E59" s="42"/>
      <c r="F59" s="4" t="s">
        <v>25</v>
      </c>
      <c r="G59" s="5" t="s">
        <v>141</v>
      </c>
      <c r="H59" s="5">
        <v>0</v>
      </c>
      <c r="I59" s="5" t="s">
        <v>20</v>
      </c>
      <c r="J59" s="5" t="s">
        <v>73</v>
      </c>
      <c r="K59" s="5">
        <v>0</v>
      </c>
      <c r="L59" s="5">
        <v>0</v>
      </c>
      <c r="M59" s="59">
        <v>46097</v>
      </c>
      <c r="N59" s="5"/>
      <c r="O59" s="5"/>
      <c r="P59" s="5"/>
      <c r="Q59" s="5"/>
    </row>
    <row r="60" spans="1:17" ht="15" customHeight="1">
      <c r="A60" s="12">
        <v>59</v>
      </c>
      <c r="B60" s="14" t="s">
        <v>142</v>
      </c>
      <c r="C60" s="5" t="s">
        <v>143</v>
      </c>
      <c r="D60" s="48" t="s">
        <v>144</v>
      </c>
      <c r="E60" s="52"/>
      <c r="F60" s="4" t="s">
        <v>25</v>
      </c>
      <c r="G60" s="4" t="s">
        <v>25</v>
      </c>
      <c r="H60" s="5">
        <v>15</v>
      </c>
      <c r="I60" s="5" t="s">
        <v>20</v>
      </c>
      <c r="J60" s="5"/>
      <c r="K60" s="5"/>
      <c r="L60" s="5">
        <v>0</v>
      </c>
      <c r="M60" s="59">
        <v>46097</v>
      </c>
      <c r="N60" s="5"/>
      <c r="O60" s="5"/>
      <c r="P60" s="5"/>
      <c r="Q60" s="5"/>
    </row>
    <row r="61" spans="1:17" ht="15" customHeight="1">
      <c r="A61" s="12">
        <v>60</v>
      </c>
      <c r="B61" s="14" t="s">
        <v>142</v>
      </c>
      <c r="C61" s="63" t="s">
        <v>145</v>
      </c>
      <c r="D61" s="14" t="s">
        <v>146</v>
      </c>
      <c r="E61" s="52"/>
      <c r="F61" s="4" t="s">
        <v>20</v>
      </c>
      <c r="G61" s="3" t="s">
        <v>21</v>
      </c>
      <c r="H61" s="5">
        <v>5</v>
      </c>
      <c r="I61" s="5" t="s">
        <v>20</v>
      </c>
      <c r="J61" s="5" t="s">
        <v>147</v>
      </c>
      <c r="K61" s="5"/>
      <c r="L61" s="5">
        <v>0</v>
      </c>
      <c r="M61" s="59">
        <v>46097</v>
      </c>
      <c r="N61" s="5"/>
      <c r="O61" s="5"/>
      <c r="P61" s="5"/>
      <c r="Q61" s="5"/>
    </row>
    <row r="62" spans="1:17" ht="15" customHeight="1">
      <c r="A62" s="12">
        <v>61</v>
      </c>
      <c r="B62" s="14" t="s">
        <v>142</v>
      </c>
      <c r="C62" s="63" t="s">
        <v>148</v>
      </c>
      <c r="D62" s="48" t="s">
        <v>149</v>
      </c>
      <c r="E62" s="52">
        <v>282</v>
      </c>
      <c r="F62" s="4" t="s">
        <v>20</v>
      </c>
      <c r="G62" s="5" t="s">
        <v>150</v>
      </c>
      <c r="H62" s="5">
        <v>40</v>
      </c>
      <c r="I62" s="5" t="s">
        <v>20</v>
      </c>
      <c r="J62" s="5"/>
      <c r="K62" s="5">
        <v>6</v>
      </c>
      <c r="L62" s="5">
        <v>13</v>
      </c>
      <c r="M62" s="5" t="s">
        <v>58</v>
      </c>
      <c r="N62" s="5"/>
      <c r="O62" s="5"/>
      <c r="P62" s="5"/>
      <c r="Q62" s="5"/>
    </row>
    <row r="63" spans="1:17" ht="15" customHeight="1">
      <c r="A63" s="12">
        <v>62</v>
      </c>
      <c r="B63" s="14" t="s">
        <v>142</v>
      </c>
      <c r="C63" s="63" t="s">
        <v>151</v>
      </c>
      <c r="D63" s="48" t="s">
        <v>149</v>
      </c>
      <c r="E63" s="52">
        <v>737</v>
      </c>
      <c r="F63" s="4" t="s">
        <v>25</v>
      </c>
      <c r="G63" s="39" t="s">
        <v>152</v>
      </c>
      <c r="H63" s="5">
        <v>4</v>
      </c>
      <c r="I63" s="5" t="s">
        <v>20</v>
      </c>
      <c r="J63" s="5"/>
      <c r="K63" s="5"/>
      <c r="L63" s="5">
        <v>0</v>
      </c>
      <c r="M63" s="59">
        <v>46097</v>
      </c>
      <c r="N63" s="5"/>
      <c r="O63" s="5"/>
      <c r="P63" s="5"/>
      <c r="Q63" s="5"/>
    </row>
    <row r="64" spans="1:17" ht="15" customHeight="1">
      <c r="A64" s="12">
        <v>63</v>
      </c>
      <c r="B64" s="14" t="s">
        <v>142</v>
      </c>
      <c r="C64" s="63" t="s">
        <v>153</v>
      </c>
      <c r="D64" s="48" t="s">
        <v>154</v>
      </c>
      <c r="E64" s="52"/>
      <c r="F64" s="4" t="s">
        <v>25</v>
      </c>
      <c r="G64" s="4" t="s">
        <v>25</v>
      </c>
      <c r="H64" s="5">
        <v>0</v>
      </c>
      <c r="I64" s="5" t="s">
        <v>20</v>
      </c>
      <c r="J64" s="5"/>
      <c r="K64" s="5"/>
      <c r="L64" s="5">
        <v>0</v>
      </c>
      <c r="M64" s="59">
        <v>46097</v>
      </c>
      <c r="N64" s="5"/>
      <c r="O64" s="5"/>
      <c r="P64" s="5"/>
      <c r="Q64" s="5"/>
    </row>
    <row r="65" spans="1:17" ht="15" customHeight="1">
      <c r="A65" s="12">
        <v>64</v>
      </c>
      <c r="B65" s="14" t="s">
        <v>142</v>
      </c>
      <c r="C65" s="5" t="s">
        <v>155</v>
      </c>
      <c r="D65" s="48" t="s">
        <v>156</v>
      </c>
      <c r="E65" s="52"/>
      <c r="F65" s="4" t="s">
        <v>20</v>
      </c>
      <c r="G65" s="3" t="s">
        <v>21</v>
      </c>
      <c r="H65" s="5">
        <v>12</v>
      </c>
      <c r="I65" s="5" t="s">
        <v>20</v>
      </c>
      <c r="J65" s="5"/>
      <c r="K65" s="5"/>
      <c r="L65" s="5">
        <v>0</v>
      </c>
      <c r="M65" s="59">
        <v>46097</v>
      </c>
      <c r="N65" s="5"/>
      <c r="O65" s="5"/>
      <c r="P65" s="5"/>
      <c r="Q65" s="5"/>
    </row>
    <row r="66" spans="1:17" ht="15" customHeight="1">
      <c r="A66" s="12">
        <v>65</v>
      </c>
      <c r="B66" s="14" t="s">
        <v>142</v>
      </c>
      <c r="C66" s="63" t="s">
        <v>157</v>
      </c>
      <c r="D66" s="48" t="s">
        <v>158</v>
      </c>
      <c r="E66" s="52"/>
      <c r="F66" s="4" t="s">
        <v>20</v>
      </c>
      <c r="G66" s="3" t="s">
        <v>21</v>
      </c>
      <c r="H66" s="5">
        <v>2</v>
      </c>
      <c r="I66" s="5" t="s">
        <v>20</v>
      </c>
      <c r="J66" s="5"/>
      <c r="K66" s="5"/>
      <c r="L66" s="5">
        <v>0</v>
      </c>
      <c r="M66" s="59">
        <v>46097</v>
      </c>
      <c r="N66" s="5"/>
      <c r="O66" s="5"/>
      <c r="P66" s="5"/>
      <c r="Q66" s="5"/>
    </row>
    <row r="67" spans="1:17" ht="15" customHeight="1">
      <c r="A67" s="12">
        <v>66</v>
      </c>
      <c r="B67" s="14" t="s">
        <v>142</v>
      </c>
      <c r="C67" s="63" t="s">
        <v>159</v>
      </c>
      <c r="D67" s="48" t="s">
        <v>160</v>
      </c>
      <c r="E67" s="52"/>
      <c r="F67" s="4" t="s">
        <v>20</v>
      </c>
      <c r="G67" s="3" t="s">
        <v>21</v>
      </c>
      <c r="H67" s="5">
        <v>2</v>
      </c>
      <c r="I67" s="5" t="s">
        <v>20</v>
      </c>
      <c r="J67" s="5"/>
      <c r="K67" s="5"/>
      <c r="L67" s="5">
        <v>0</v>
      </c>
      <c r="M67" s="59">
        <v>46097</v>
      </c>
      <c r="N67" s="5"/>
      <c r="O67" s="5"/>
      <c r="P67" s="5"/>
      <c r="Q67" s="5"/>
    </row>
    <row r="68" spans="1:17" ht="15" customHeight="1">
      <c r="A68" s="12">
        <v>67</v>
      </c>
      <c r="B68" s="14" t="s">
        <v>142</v>
      </c>
      <c r="C68" s="63" t="s">
        <v>161</v>
      </c>
      <c r="D68" s="48" t="s">
        <v>162</v>
      </c>
      <c r="E68" s="52"/>
      <c r="F68" s="4" t="s">
        <v>20</v>
      </c>
      <c r="G68" s="3" t="s">
        <v>21</v>
      </c>
      <c r="H68" s="5">
        <v>8</v>
      </c>
      <c r="I68" s="5" t="s">
        <v>20</v>
      </c>
      <c r="J68" s="5"/>
      <c r="K68" s="5"/>
      <c r="L68" s="5">
        <v>0</v>
      </c>
      <c r="M68" s="59">
        <v>46097</v>
      </c>
      <c r="N68" s="5"/>
      <c r="O68" s="5"/>
      <c r="P68" s="5"/>
      <c r="Q68" s="5"/>
    </row>
    <row r="69" spans="1:17" ht="15" customHeight="1">
      <c r="A69" s="12">
        <v>68</v>
      </c>
      <c r="B69" s="14" t="s">
        <v>142</v>
      </c>
      <c r="C69" s="63" t="s">
        <v>163</v>
      </c>
      <c r="D69" s="48" t="s">
        <v>164</v>
      </c>
      <c r="E69" s="52"/>
      <c r="F69" s="4" t="s">
        <v>25</v>
      </c>
      <c r="G69" s="4" t="s">
        <v>25</v>
      </c>
      <c r="H69" s="5">
        <v>0</v>
      </c>
      <c r="I69" s="5" t="s">
        <v>20</v>
      </c>
      <c r="J69" s="5"/>
      <c r="K69" s="5"/>
      <c r="L69" s="5">
        <v>0</v>
      </c>
      <c r="M69" s="59">
        <v>46097</v>
      </c>
      <c r="N69" s="5"/>
      <c r="O69" s="5"/>
      <c r="P69" s="5"/>
      <c r="Q69" s="5"/>
    </row>
    <row r="70" spans="1:17" ht="15" customHeight="1">
      <c r="A70" s="12">
        <v>69</v>
      </c>
      <c r="B70" s="14" t="s">
        <v>142</v>
      </c>
      <c r="C70" s="63" t="s">
        <v>165</v>
      </c>
      <c r="D70" s="48" t="s">
        <v>166</v>
      </c>
      <c r="E70" s="52"/>
      <c r="F70" s="4" t="s">
        <v>25</v>
      </c>
      <c r="G70" s="4" t="s">
        <v>25</v>
      </c>
      <c r="H70" s="5">
        <v>0</v>
      </c>
      <c r="I70" s="5" t="s">
        <v>20</v>
      </c>
      <c r="J70" s="5"/>
      <c r="K70" s="5"/>
      <c r="L70" s="5">
        <v>0</v>
      </c>
      <c r="M70" s="59">
        <v>46097</v>
      </c>
      <c r="N70" s="53" t="s">
        <v>167</v>
      </c>
      <c r="O70" s="5"/>
      <c r="P70" s="5"/>
      <c r="Q70" s="5"/>
    </row>
    <row r="71" spans="1:17" ht="15" customHeight="1">
      <c r="A71" s="12">
        <v>70</v>
      </c>
      <c r="B71" s="14" t="s">
        <v>142</v>
      </c>
      <c r="C71" s="63" t="s">
        <v>168</v>
      </c>
      <c r="D71" s="48" t="s">
        <v>169</v>
      </c>
      <c r="E71" s="52"/>
      <c r="F71" s="4" t="s">
        <v>20</v>
      </c>
      <c r="G71" s="3" t="s">
        <v>21</v>
      </c>
      <c r="H71" s="5">
        <v>0</v>
      </c>
      <c r="I71" s="5" t="s">
        <v>20</v>
      </c>
      <c r="J71" s="5"/>
      <c r="K71" s="5"/>
      <c r="L71" s="5">
        <v>0</v>
      </c>
      <c r="M71" s="59">
        <v>46097</v>
      </c>
      <c r="N71" s="5"/>
      <c r="O71" s="5"/>
      <c r="P71" s="5"/>
      <c r="Q71" s="5"/>
    </row>
    <row r="72" spans="1:17" ht="15" customHeight="1">
      <c r="A72" s="12">
        <v>71</v>
      </c>
      <c r="B72" s="14" t="s">
        <v>142</v>
      </c>
      <c r="C72" s="63" t="s">
        <v>170</v>
      </c>
      <c r="D72" s="14" t="s">
        <v>171</v>
      </c>
      <c r="E72" s="52"/>
      <c r="F72" s="4" t="s">
        <v>20</v>
      </c>
      <c r="G72" s="3" t="s">
        <v>21</v>
      </c>
      <c r="H72" s="5">
        <v>3</v>
      </c>
      <c r="I72" s="5" t="s">
        <v>20</v>
      </c>
      <c r="J72" s="5"/>
      <c r="K72" s="5"/>
      <c r="L72" s="5">
        <v>0</v>
      </c>
      <c r="M72" s="59">
        <v>46097</v>
      </c>
      <c r="N72" s="5"/>
      <c r="O72" s="5"/>
      <c r="P72" s="5"/>
      <c r="Q72" s="5"/>
    </row>
    <row r="73" spans="1:17" ht="15" customHeight="1">
      <c r="A73" s="12">
        <v>72</v>
      </c>
      <c r="B73" s="14" t="s">
        <v>142</v>
      </c>
      <c r="C73" s="63" t="s">
        <v>172</v>
      </c>
      <c r="D73" s="14" t="s">
        <v>171</v>
      </c>
      <c r="E73" s="52"/>
      <c r="F73" s="4" t="s">
        <v>25</v>
      </c>
      <c r="G73" s="4" t="s">
        <v>25</v>
      </c>
      <c r="H73" s="5">
        <v>0</v>
      </c>
      <c r="I73" s="5" t="s">
        <v>20</v>
      </c>
      <c r="J73" s="5"/>
      <c r="K73" s="5"/>
      <c r="L73" s="5">
        <v>0</v>
      </c>
      <c r="M73" s="59">
        <v>46097</v>
      </c>
      <c r="N73" s="5"/>
      <c r="O73" s="5"/>
      <c r="P73" s="5"/>
      <c r="Q73" s="5"/>
    </row>
    <row r="74" spans="1:17" ht="15" customHeight="1">
      <c r="A74" s="12">
        <v>73</v>
      </c>
      <c r="B74" s="14" t="s">
        <v>142</v>
      </c>
      <c r="C74" s="63" t="s">
        <v>173</v>
      </c>
      <c r="D74" s="14" t="s">
        <v>171</v>
      </c>
      <c r="E74" s="52"/>
      <c r="F74" s="4" t="s">
        <v>25</v>
      </c>
      <c r="G74" s="4" t="s">
        <v>25</v>
      </c>
      <c r="H74" s="5">
        <v>0</v>
      </c>
      <c r="I74" s="5" t="s">
        <v>20</v>
      </c>
      <c r="J74" s="5"/>
      <c r="K74" s="5"/>
      <c r="L74" s="5">
        <v>0</v>
      </c>
      <c r="M74" s="59">
        <v>46097</v>
      </c>
      <c r="N74" s="5"/>
      <c r="O74" s="5"/>
      <c r="P74" s="5"/>
      <c r="Q74" s="5"/>
    </row>
    <row r="75" spans="1:17" ht="15" customHeight="1">
      <c r="A75" s="12">
        <v>74</v>
      </c>
      <c r="B75" s="14" t="s">
        <v>142</v>
      </c>
      <c r="C75" s="63" t="s">
        <v>174</v>
      </c>
      <c r="D75" s="14" t="s">
        <v>171</v>
      </c>
      <c r="E75" s="52"/>
      <c r="F75" s="4" t="s">
        <v>20</v>
      </c>
      <c r="G75" s="3" t="s">
        <v>21</v>
      </c>
      <c r="H75" s="5">
        <v>0</v>
      </c>
      <c r="I75" s="5" t="s">
        <v>20</v>
      </c>
      <c r="J75" s="5"/>
      <c r="K75" s="5"/>
      <c r="L75" s="5">
        <v>0</v>
      </c>
      <c r="M75" s="59">
        <v>46097</v>
      </c>
      <c r="N75" s="5"/>
      <c r="O75" s="5"/>
      <c r="P75" s="5"/>
      <c r="Q75" s="5"/>
    </row>
    <row r="76" spans="1:17" ht="15" customHeight="1">
      <c r="A76" s="12">
        <v>75</v>
      </c>
      <c r="B76" s="14" t="s">
        <v>142</v>
      </c>
      <c r="C76" s="5" t="s">
        <v>175</v>
      </c>
      <c r="D76" s="48" t="s">
        <v>176</v>
      </c>
      <c r="E76" s="52"/>
      <c r="F76" s="4" t="s">
        <v>25</v>
      </c>
      <c r="G76" s="4" t="s">
        <v>25</v>
      </c>
      <c r="H76" s="5">
        <v>0</v>
      </c>
      <c r="I76" s="5" t="s">
        <v>20</v>
      </c>
      <c r="J76" s="5" t="s">
        <v>147</v>
      </c>
      <c r="K76" s="5"/>
      <c r="L76" s="5">
        <v>0</v>
      </c>
      <c r="M76" s="59">
        <v>46097</v>
      </c>
      <c r="N76" s="53" t="s">
        <v>177</v>
      </c>
      <c r="O76" s="5"/>
      <c r="P76" s="5"/>
      <c r="Q76" s="5"/>
    </row>
    <row r="77" spans="1:17" ht="15" customHeight="1">
      <c r="A77" s="12">
        <v>76</v>
      </c>
      <c r="B77" s="5" t="s">
        <v>17</v>
      </c>
      <c r="C77" s="5" t="s">
        <v>178</v>
      </c>
      <c r="D77" s="5"/>
      <c r="E77" s="52"/>
      <c r="F77" s="4" t="s">
        <v>20</v>
      </c>
      <c r="G77" s="3" t="s">
        <v>21</v>
      </c>
      <c r="H77" s="5">
        <v>0</v>
      </c>
      <c r="I77" s="5" t="s">
        <v>20</v>
      </c>
      <c r="J77" s="5"/>
      <c r="K77" s="5"/>
      <c r="L77" s="5">
        <v>0</v>
      </c>
      <c r="M77" s="59">
        <v>46097</v>
      </c>
      <c r="N77" s="5"/>
      <c r="O77" s="5"/>
      <c r="P77" s="5"/>
      <c r="Q77" s="5" t="s">
        <v>179</v>
      </c>
    </row>
    <row r="78" spans="1:17" ht="15" customHeight="1">
      <c r="A78" s="12">
        <v>77</v>
      </c>
      <c r="B78" s="5" t="s">
        <v>17</v>
      </c>
      <c r="C78" s="5" t="s">
        <v>180</v>
      </c>
      <c r="D78" s="5"/>
      <c r="E78" s="52"/>
      <c r="F78" s="4" t="s">
        <v>20</v>
      </c>
      <c r="G78" s="3" t="s">
        <v>21</v>
      </c>
      <c r="H78" s="5">
        <v>0</v>
      </c>
      <c r="I78" s="5" t="s">
        <v>20</v>
      </c>
      <c r="J78" s="5"/>
      <c r="K78" s="5"/>
      <c r="L78" s="5">
        <v>0</v>
      </c>
      <c r="M78" s="59">
        <v>46097</v>
      </c>
      <c r="N78" s="5"/>
      <c r="O78" s="5"/>
      <c r="P78" s="5"/>
      <c r="Q78" s="5" t="s">
        <v>181</v>
      </c>
    </row>
    <row r="79" spans="1:17" ht="15" customHeight="1">
      <c r="A79" s="12">
        <v>78</v>
      </c>
      <c r="B79" s="5" t="s">
        <v>17</v>
      </c>
      <c r="C79" s="5" t="s">
        <v>182</v>
      </c>
      <c r="D79" s="5"/>
      <c r="E79" s="52"/>
      <c r="F79" s="4" t="s">
        <v>20</v>
      </c>
      <c r="G79" s="3" t="s">
        <v>21</v>
      </c>
      <c r="H79" s="5">
        <v>0</v>
      </c>
      <c r="I79" s="5" t="s">
        <v>20</v>
      </c>
      <c r="J79" s="5"/>
      <c r="K79" s="5"/>
      <c r="L79" s="5">
        <v>0</v>
      </c>
      <c r="M79" s="59">
        <v>46097</v>
      </c>
      <c r="N79" s="5"/>
      <c r="O79" s="5"/>
      <c r="P79" s="5"/>
      <c r="Q79" s="5" t="s">
        <v>181</v>
      </c>
    </row>
    <row r="80" spans="1:17" ht="15" customHeight="1">
      <c r="A80" s="12">
        <v>79</v>
      </c>
      <c r="B80" s="5" t="s">
        <v>183</v>
      </c>
      <c r="C80" s="5" t="s">
        <v>184</v>
      </c>
      <c r="D80" s="5"/>
      <c r="E80" s="52"/>
      <c r="F80" s="4" t="s">
        <v>20</v>
      </c>
      <c r="G80" s="3" t="s">
        <v>21</v>
      </c>
      <c r="H80" s="5">
        <v>0</v>
      </c>
      <c r="I80" s="5" t="s">
        <v>20</v>
      </c>
      <c r="J80" s="5"/>
      <c r="K80" s="5"/>
      <c r="L80" s="5">
        <v>0</v>
      </c>
      <c r="M80" s="59">
        <v>46097</v>
      </c>
      <c r="N80" s="5"/>
      <c r="O80" s="5"/>
      <c r="P80" s="5"/>
      <c r="Q80" s="5" t="s">
        <v>181</v>
      </c>
    </row>
    <row r="81" spans="1:17" ht="15" customHeight="1">
      <c r="A81" s="12">
        <v>80</v>
      </c>
      <c r="B81" s="5" t="s">
        <v>185</v>
      </c>
      <c r="C81" s="5" t="s">
        <v>186</v>
      </c>
      <c r="D81" s="5"/>
      <c r="E81" s="52"/>
      <c r="F81" s="4" t="s">
        <v>20</v>
      </c>
      <c r="G81" s="3" t="s">
        <v>21</v>
      </c>
      <c r="H81" s="5">
        <v>0</v>
      </c>
      <c r="I81" s="5" t="s">
        <v>20</v>
      </c>
      <c r="J81" s="5"/>
      <c r="K81" s="5"/>
      <c r="L81" s="5">
        <v>0</v>
      </c>
      <c r="M81" s="59">
        <v>46097</v>
      </c>
      <c r="N81" s="5"/>
      <c r="O81" s="5"/>
      <c r="P81" s="5"/>
      <c r="Q81" s="5" t="s">
        <v>181</v>
      </c>
    </row>
    <row r="82" spans="1:17" ht="15" customHeight="1">
      <c r="A82" s="12">
        <v>81</v>
      </c>
      <c r="B82" s="5" t="s">
        <v>185</v>
      </c>
      <c r="C82" s="5" t="s">
        <v>187</v>
      </c>
      <c r="D82" s="5"/>
      <c r="E82" s="52"/>
      <c r="F82" s="4" t="s">
        <v>20</v>
      </c>
      <c r="G82" s="3" t="s">
        <v>21</v>
      </c>
      <c r="H82" s="5">
        <v>0</v>
      </c>
      <c r="I82" s="5" t="s">
        <v>20</v>
      </c>
      <c r="J82" s="5"/>
      <c r="K82" s="5"/>
      <c r="L82" s="5">
        <v>0</v>
      </c>
      <c r="M82" s="59">
        <v>46097</v>
      </c>
      <c r="N82" s="5"/>
      <c r="O82" s="5"/>
      <c r="P82" s="5"/>
      <c r="Q82" s="5" t="s">
        <v>181</v>
      </c>
    </row>
    <row r="83" spans="1:17" ht="15" customHeight="1">
      <c r="A83" s="12">
        <v>82</v>
      </c>
      <c r="B83" s="5" t="s">
        <v>185</v>
      </c>
      <c r="C83" s="5" t="s">
        <v>188</v>
      </c>
      <c r="D83" s="5"/>
      <c r="E83" s="52"/>
      <c r="F83" s="4" t="s">
        <v>20</v>
      </c>
      <c r="G83" s="3" t="s">
        <v>21</v>
      </c>
      <c r="H83" s="5">
        <v>0</v>
      </c>
      <c r="I83" s="5" t="s">
        <v>20</v>
      </c>
      <c r="J83" s="5"/>
      <c r="K83" s="5"/>
      <c r="L83" s="5">
        <v>0</v>
      </c>
      <c r="M83" s="59">
        <v>46097</v>
      </c>
      <c r="N83" s="5"/>
      <c r="O83" s="5"/>
      <c r="P83" s="5"/>
      <c r="Q83" s="5" t="s">
        <v>181</v>
      </c>
    </row>
    <row r="84" spans="1:17" ht="15" customHeight="1">
      <c r="A84" s="12">
        <v>83</v>
      </c>
      <c r="B84" s="5" t="s">
        <v>53</v>
      </c>
      <c r="C84" s="5" t="s">
        <v>189</v>
      </c>
      <c r="D84" s="5"/>
      <c r="E84" s="52"/>
      <c r="F84" s="4" t="s">
        <v>20</v>
      </c>
      <c r="G84" s="3" t="s">
        <v>21</v>
      </c>
      <c r="H84" s="5">
        <v>0</v>
      </c>
      <c r="I84" s="5" t="s">
        <v>20</v>
      </c>
      <c r="J84" s="5"/>
      <c r="K84" s="5"/>
      <c r="L84" s="5">
        <v>0</v>
      </c>
      <c r="M84" s="59">
        <v>46097</v>
      </c>
      <c r="N84" s="5"/>
      <c r="O84" s="5"/>
      <c r="P84" s="5"/>
      <c r="Q84" s="5" t="s">
        <v>181</v>
      </c>
    </row>
    <row r="85" spans="1:17" ht="15" customHeight="1">
      <c r="A85" s="12">
        <v>84</v>
      </c>
      <c r="B85" s="5" t="s">
        <v>17</v>
      </c>
      <c r="C85" s="5" t="s">
        <v>190</v>
      </c>
      <c r="D85" s="5"/>
      <c r="E85" s="52"/>
      <c r="F85" s="4" t="s">
        <v>20</v>
      </c>
      <c r="G85" s="3" t="s">
        <v>21</v>
      </c>
      <c r="H85" s="5">
        <v>0</v>
      </c>
      <c r="I85" s="5" t="s">
        <v>20</v>
      </c>
      <c r="J85" s="5"/>
      <c r="K85" s="5"/>
      <c r="L85" s="5">
        <v>0</v>
      </c>
      <c r="M85" s="59">
        <v>46097</v>
      </c>
      <c r="N85" s="5"/>
      <c r="O85" s="5"/>
      <c r="P85" s="5"/>
      <c r="Q85" s="5" t="s">
        <v>181</v>
      </c>
    </row>
    <row r="86" spans="1:17" ht="15" customHeight="1">
      <c r="A86" s="12">
        <v>85</v>
      </c>
      <c r="B86" s="5" t="s">
        <v>17</v>
      </c>
      <c r="C86" s="5" t="s">
        <v>191</v>
      </c>
      <c r="D86" s="5"/>
      <c r="E86" s="52"/>
      <c r="F86" s="4" t="s">
        <v>20</v>
      </c>
      <c r="G86" s="3" t="s">
        <v>21</v>
      </c>
      <c r="H86" s="5">
        <v>0</v>
      </c>
      <c r="I86" s="5" t="s">
        <v>20</v>
      </c>
      <c r="J86" s="5"/>
      <c r="K86" s="5"/>
      <c r="L86" s="5">
        <v>0</v>
      </c>
      <c r="M86" s="59">
        <v>46097</v>
      </c>
      <c r="N86" s="5"/>
      <c r="O86" s="5"/>
      <c r="P86" s="5"/>
      <c r="Q86" s="5" t="s">
        <v>181</v>
      </c>
    </row>
    <row r="87" spans="1:17" ht="15" customHeight="1">
      <c r="A87" s="12">
        <v>86</v>
      </c>
      <c r="B87" s="5" t="s">
        <v>17</v>
      </c>
      <c r="C87" s="5" t="s">
        <v>192</v>
      </c>
      <c r="D87" s="5"/>
      <c r="E87" s="52"/>
      <c r="F87" s="4" t="s">
        <v>20</v>
      </c>
      <c r="G87" s="3" t="s">
        <v>21</v>
      </c>
      <c r="H87" s="5">
        <v>0</v>
      </c>
      <c r="I87" s="5" t="s">
        <v>20</v>
      </c>
      <c r="J87" s="5"/>
      <c r="K87" s="5"/>
      <c r="L87" s="5">
        <v>0</v>
      </c>
      <c r="M87" s="59">
        <v>46097</v>
      </c>
      <c r="N87" s="5"/>
      <c r="O87" s="5"/>
      <c r="P87" s="5"/>
      <c r="Q87" s="5" t="s">
        <v>181</v>
      </c>
    </row>
    <row r="88" spans="1:17" ht="15" customHeight="1">
      <c r="A88" s="12">
        <v>87</v>
      </c>
      <c r="B88" s="5" t="s">
        <v>17</v>
      </c>
      <c r="C88" s="5" t="s">
        <v>193</v>
      </c>
      <c r="D88" s="5"/>
      <c r="E88" s="52"/>
      <c r="F88" s="4" t="s">
        <v>20</v>
      </c>
      <c r="G88" s="3" t="s">
        <v>21</v>
      </c>
      <c r="H88" s="5">
        <v>0</v>
      </c>
      <c r="I88" s="5" t="s">
        <v>20</v>
      </c>
      <c r="J88" s="5"/>
      <c r="K88" s="5"/>
      <c r="L88" s="5">
        <v>0</v>
      </c>
      <c r="M88" s="59">
        <v>46097</v>
      </c>
      <c r="N88" s="5"/>
      <c r="O88" s="5"/>
      <c r="P88" s="5"/>
      <c r="Q88" s="5" t="s">
        <v>181</v>
      </c>
    </row>
    <row r="89" spans="1:17" ht="15" customHeight="1">
      <c r="A89" s="12">
        <v>88</v>
      </c>
      <c r="B89" s="5" t="s">
        <v>17</v>
      </c>
      <c r="C89" s="5" t="s">
        <v>194</v>
      </c>
      <c r="D89" s="5"/>
      <c r="E89" s="52"/>
      <c r="F89" s="4" t="s">
        <v>20</v>
      </c>
      <c r="G89" s="3" t="s">
        <v>21</v>
      </c>
      <c r="H89" s="5">
        <v>0</v>
      </c>
      <c r="I89" s="5" t="s">
        <v>20</v>
      </c>
      <c r="J89" s="5"/>
      <c r="K89" s="5"/>
      <c r="L89" s="5">
        <v>0</v>
      </c>
      <c r="M89" s="59">
        <v>46097</v>
      </c>
      <c r="N89" s="5"/>
      <c r="O89" s="5"/>
      <c r="P89" s="5"/>
      <c r="Q89" s="5" t="s">
        <v>181</v>
      </c>
    </row>
    <row r="90" spans="1:17" ht="15" customHeight="1">
      <c r="A90" s="12">
        <v>89</v>
      </c>
      <c r="B90" s="5" t="s">
        <v>17</v>
      </c>
      <c r="C90" s="5" t="s">
        <v>195</v>
      </c>
      <c r="D90" s="5"/>
      <c r="E90" s="52"/>
      <c r="F90" s="4" t="s">
        <v>20</v>
      </c>
      <c r="G90" s="3" t="s">
        <v>21</v>
      </c>
      <c r="H90" s="5">
        <v>0</v>
      </c>
      <c r="I90" s="5" t="s">
        <v>20</v>
      </c>
      <c r="J90" s="5"/>
      <c r="K90" s="5"/>
      <c r="L90" s="5">
        <v>0</v>
      </c>
      <c r="M90" s="59">
        <v>46097</v>
      </c>
      <c r="N90" s="5"/>
      <c r="O90" s="5"/>
      <c r="P90" s="5"/>
      <c r="Q90" s="5" t="s">
        <v>181</v>
      </c>
    </row>
    <row r="91" spans="1:17" ht="15" customHeight="1">
      <c r="A91" s="12">
        <v>90</v>
      </c>
      <c r="B91" s="5" t="s">
        <v>17</v>
      </c>
      <c r="C91" s="5" t="s">
        <v>196</v>
      </c>
      <c r="D91" s="5"/>
      <c r="E91" s="52"/>
      <c r="F91" s="4" t="s">
        <v>20</v>
      </c>
      <c r="G91" s="3" t="s">
        <v>21</v>
      </c>
      <c r="H91" s="5">
        <v>0</v>
      </c>
      <c r="I91" s="5" t="s">
        <v>20</v>
      </c>
      <c r="J91" s="5"/>
      <c r="K91" s="5"/>
      <c r="L91" s="5">
        <v>0</v>
      </c>
      <c r="M91" s="59">
        <v>46097</v>
      </c>
      <c r="N91" s="5"/>
      <c r="O91" s="5"/>
      <c r="P91" s="5"/>
      <c r="Q91" s="5" t="s">
        <v>181</v>
      </c>
    </row>
    <row r="92" spans="1:17" ht="15" customHeight="1">
      <c r="A92" s="12">
        <v>91</v>
      </c>
      <c r="B92" s="5" t="s">
        <v>17</v>
      </c>
      <c r="C92" s="5" t="s">
        <v>197</v>
      </c>
      <c r="D92" s="5"/>
      <c r="E92" s="52"/>
      <c r="F92" s="4" t="s">
        <v>20</v>
      </c>
      <c r="G92" s="3" t="s">
        <v>21</v>
      </c>
      <c r="H92" s="5">
        <v>0</v>
      </c>
      <c r="I92" s="5" t="s">
        <v>20</v>
      </c>
      <c r="J92" s="5"/>
      <c r="K92" s="5"/>
      <c r="L92" s="5">
        <v>0</v>
      </c>
      <c r="M92" s="59">
        <v>46097</v>
      </c>
      <c r="N92" s="5"/>
      <c r="O92" s="5"/>
      <c r="P92" s="5"/>
      <c r="Q92" s="5" t="s">
        <v>181</v>
      </c>
    </row>
    <row r="93" spans="1:17" ht="15" customHeight="1">
      <c r="A93" s="12">
        <v>92</v>
      </c>
      <c r="B93" s="5" t="s">
        <v>17</v>
      </c>
      <c r="C93" s="5" t="s">
        <v>198</v>
      </c>
      <c r="D93" s="5"/>
      <c r="E93" s="52"/>
      <c r="F93" s="4" t="s">
        <v>20</v>
      </c>
      <c r="G93" s="3" t="s">
        <v>21</v>
      </c>
      <c r="H93" s="5">
        <v>0</v>
      </c>
      <c r="I93" s="5" t="s">
        <v>20</v>
      </c>
      <c r="J93" s="5"/>
      <c r="K93" s="5"/>
      <c r="L93" s="5">
        <v>0</v>
      </c>
      <c r="M93" s="59">
        <v>46097</v>
      </c>
      <c r="N93" s="5"/>
      <c r="O93" s="5"/>
      <c r="P93" s="5"/>
      <c r="Q93" s="5" t="s">
        <v>181</v>
      </c>
    </row>
    <row r="94" spans="1:17" ht="15" customHeight="1">
      <c r="A94" s="12">
        <v>93</v>
      </c>
      <c r="B94" s="5" t="s">
        <v>17</v>
      </c>
      <c r="C94" s="5" t="s">
        <v>199</v>
      </c>
      <c r="D94" s="5"/>
      <c r="E94" s="52"/>
      <c r="F94" s="4" t="s">
        <v>20</v>
      </c>
      <c r="G94" s="3" t="s">
        <v>21</v>
      </c>
      <c r="H94" s="5">
        <v>0</v>
      </c>
      <c r="I94" s="5" t="s">
        <v>20</v>
      </c>
      <c r="J94" s="5"/>
      <c r="K94" s="5"/>
      <c r="L94" s="5">
        <v>0</v>
      </c>
      <c r="M94" s="59">
        <v>46097</v>
      </c>
      <c r="N94" s="5"/>
      <c r="O94" s="5"/>
      <c r="P94" s="5"/>
      <c r="Q94" s="5" t="s">
        <v>181</v>
      </c>
    </row>
    <row r="95" spans="1:17" ht="15" customHeight="1">
      <c r="A95" s="12">
        <v>94</v>
      </c>
      <c r="B95" s="5" t="s">
        <v>17</v>
      </c>
      <c r="C95" s="5" t="s">
        <v>200</v>
      </c>
      <c r="D95" s="5"/>
      <c r="E95" s="52"/>
      <c r="F95" s="4" t="s">
        <v>20</v>
      </c>
      <c r="G95" s="3" t="s">
        <v>21</v>
      </c>
      <c r="H95" s="5">
        <v>0</v>
      </c>
      <c r="I95" s="5" t="s">
        <v>20</v>
      </c>
      <c r="J95" s="5"/>
      <c r="K95" s="5"/>
      <c r="L95" s="5">
        <v>0</v>
      </c>
      <c r="M95" s="59">
        <v>46097</v>
      </c>
      <c r="N95" s="5"/>
      <c r="O95" s="5"/>
      <c r="P95" s="5"/>
      <c r="Q95" s="5" t="s">
        <v>181</v>
      </c>
    </row>
    <row r="96" spans="1:17" ht="15" customHeight="1">
      <c r="A96" s="12">
        <v>95</v>
      </c>
      <c r="B96" s="5" t="s">
        <v>17</v>
      </c>
      <c r="C96" s="5" t="s">
        <v>201</v>
      </c>
      <c r="D96" s="5"/>
      <c r="E96" s="52"/>
      <c r="F96" s="4" t="s">
        <v>20</v>
      </c>
      <c r="G96" s="3" t="s">
        <v>21</v>
      </c>
      <c r="H96" s="5">
        <v>0</v>
      </c>
      <c r="I96" s="5" t="s">
        <v>20</v>
      </c>
      <c r="J96" s="5"/>
      <c r="K96" s="5"/>
      <c r="L96" s="5">
        <v>0</v>
      </c>
      <c r="M96" s="59">
        <v>46097</v>
      </c>
      <c r="N96" s="5"/>
      <c r="O96" s="5"/>
      <c r="P96" s="5"/>
      <c r="Q96" s="5" t="s">
        <v>181</v>
      </c>
    </row>
    <row r="97" spans="1:17" ht="15" customHeight="1">
      <c r="A97" s="12">
        <v>96</v>
      </c>
      <c r="B97" s="5" t="s">
        <v>17</v>
      </c>
      <c r="C97" s="5" t="s">
        <v>202</v>
      </c>
      <c r="D97" s="5"/>
      <c r="E97" s="52"/>
      <c r="F97" s="4" t="s">
        <v>20</v>
      </c>
      <c r="G97" s="3" t="s">
        <v>21</v>
      </c>
      <c r="H97" s="5">
        <v>0</v>
      </c>
      <c r="I97" s="5" t="s">
        <v>20</v>
      </c>
      <c r="J97" s="5"/>
      <c r="K97" s="5"/>
      <c r="L97" s="5">
        <v>0</v>
      </c>
      <c r="M97" s="59">
        <v>46097</v>
      </c>
      <c r="N97" s="5"/>
      <c r="O97" s="5"/>
      <c r="P97" s="5"/>
      <c r="Q97" s="5" t="s">
        <v>181</v>
      </c>
    </row>
    <row r="98" spans="1:17" ht="15" customHeight="1">
      <c r="A98" s="12">
        <v>97</v>
      </c>
      <c r="B98" s="5" t="s">
        <v>17</v>
      </c>
      <c r="C98" s="5" t="s">
        <v>203</v>
      </c>
      <c r="D98" s="5"/>
      <c r="E98" s="52"/>
      <c r="F98" s="4" t="s">
        <v>20</v>
      </c>
      <c r="G98" s="3" t="s">
        <v>21</v>
      </c>
      <c r="H98" s="5">
        <v>0</v>
      </c>
      <c r="I98" s="5" t="s">
        <v>20</v>
      </c>
      <c r="J98" s="5"/>
      <c r="K98" s="5"/>
      <c r="L98" s="5">
        <v>0</v>
      </c>
      <c r="M98" s="59">
        <v>46097</v>
      </c>
      <c r="N98" s="5"/>
      <c r="O98" s="5"/>
      <c r="P98" s="5"/>
      <c r="Q98" s="5" t="s">
        <v>181</v>
      </c>
    </row>
    <row r="99" spans="1:17" ht="15" customHeight="1">
      <c r="A99" s="12">
        <v>98</v>
      </c>
      <c r="B99" s="5" t="s">
        <v>17</v>
      </c>
      <c r="C99" s="5" t="s">
        <v>204</v>
      </c>
      <c r="D99" s="5"/>
      <c r="E99" s="52"/>
      <c r="F99" s="4" t="s">
        <v>20</v>
      </c>
      <c r="G99" s="3" t="s">
        <v>21</v>
      </c>
      <c r="H99" s="5">
        <v>0</v>
      </c>
      <c r="I99" s="5" t="s">
        <v>20</v>
      </c>
      <c r="J99" s="5"/>
      <c r="K99" s="5"/>
      <c r="L99" s="5">
        <v>0</v>
      </c>
      <c r="M99" s="59">
        <v>46097</v>
      </c>
      <c r="N99" s="5"/>
      <c r="O99" s="5"/>
      <c r="P99" s="5"/>
      <c r="Q99" s="5" t="s">
        <v>181</v>
      </c>
    </row>
    <row r="100" spans="1:17" ht="15" customHeight="1">
      <c r="A100" s="12">
        <v>99</v>
      </c>
      <c r="B100" s="5" t="s">
        <v>17</v>
      </c>
      <c r="C100" s="5" t="s">
        <v>205</v>
      </c>
      <c r="D100" s="5"/>
      <c r="E100" s="52"/>
      <c r="F100" s="4" t="s">
        <v>20</v>
      </c>
      <c r="G100" s="3" t="s">
        <v>21</v>
      </c>
      <c r="H100" s="5">
        <v>0</v>
      </c>
      <c r="I100" s="5" t="s">
        <v>20</v>
      </c>
      <c r="J100" s="5"/>
      <c r="K100" s="5"/>
      <c r="L100" s="5">
        <v>0</v>
      </c>
      <c r="M100" s="59">
        <v>46097</v>
      </c>
      <c r="N100" s="5"/>
      <c r="O100" s="5"/>
      <c r="P100" s="5"/>
      <c r="Q100" s="5" t="s">
        <v>181</v>
      </c>
    </row>
    <row r="101" spans="1:17" ht="15" customHeight="1">
      <c r="A101" s="12">
        <v>100</v>
      </c>
      <c r="B101" s="5" t="s">
        <v>17</v>
      </c>
      <c r="C101" s="5" t="s">
        <v>206</v>
      </c>
      <c r="D101" s="5"/>
      <c r="E101" s="52"/>
      <c r="F101" s="4" t="s">
        <v>20</v>
      </c>
      <c r="G101" s="3" t="s">
        <v>21</v>
      </c>
      <c r="H101" s="5">
        <v>0</v>
      </c>
      <c r="I101" s="5" t="s">
        <v>20</v>
      </c>
      <c r="J101" s="5"/>
      <c r="K101" s="5"/>
      <c r="L101" s="5">
        <v>0</v>
      </c>
      <c r="M101" s="59">
        <v>46097</v>
      </c>
      <c r="N101" s="5"/>
      <c r="O101" s="5"/>
      <c r="P101" s="5"/>
      <c r="Q101" s="5" t="s">
        <v>181</v>
      </c>
    </row>
    <row r="102" spans="1:17" ht="15" customHeight="1">
      <c r="A102" s="12">
        <v>101</v>
      </c>
      <c r="B102" s="5" t="s">
        <v>108</v>
      </c>
      <c r="C102" s="5" t="s">
        <v>207</v>
      </c>
      <c r="D102" s="5"/>
      <c r="E102" s="52"/>
      <c r="F102" s="4" t="s">
        <v>20</v>
      </c>
      <c r="G102" s="3" t="s">
        <v>21</v>
      </c>
      <c r="H102" s="5">
        <v>0</v>
      </c>
      <c r="I102" s="5" t="s">
        <v>20</v>
      </c>
      <c r="J102" s="5"/>
      <c r="K102" s="5"/>
      <c r="L102" s="5">
        <v>0</v>
      </c>
      <c r="M102" s="59">
        <v>46097</v>
      </c>
      <c r="N102" s="5"/>
      <c r="O102" s="5"/>
      <c r="P102" s="5"/>
      <c r="Q102" s="5" t="s">
        <v>181</v>
      </c>
    </row>
    <row r="103" spans="1:17" ht="15" customHeight="1">
      <c r="A103" s="12">
        <v>102</v>
      </c>
      <c r="B103" s="5" t="s">
        <v>108</v>
      </c>
      <c r="C103" s="5" t="s">
        <v>208</v>
      </c>
      <c r="D103" s="5"/>
      <c r="E103" s="52"/>
      <c r="F103" s="4" t="s">
        <v>20</v>
      </c>
      <c r="G103" s="3" t="s">
        <v>21</v>
      </c>
      <c r="H103" s="5">
        <v>0</v>
      </c>
      <c r="I103" s="5" t="s">
        <v>20</v>
      </c>
      <c r="J103" s="5"/>
      <c r="K103" s="5"/>
      <c r="L103" s="5">
        <v>0</v>
      </c>
      <c r="M103" s="59">
        <v>46097</v>
      </c>
      <c r="N103" s="5"/>
      <c r="O103" s="5"/>
      <c r="P103" s="5"/>
      <c r="Q103" s="5" t="s">
        <v>181</v>
      </c>
    </row>
    <row r="104" spans="1:17" ht="15" customHeight="1">
      <c r="A104" s="12">
        <v>103</v>
      </c>
      <c r="B104" s="5" t="s">
        <v>108</v>
      </c>
      <c r="C104" s="5" t="s">
        <v>209</v>
      </c>
      <c r="D104" s="5"/>
      <c r="E104" s="52"/>
      <c r="F104" s="4" t="s">
        <v>20</v>
      </c>
      <c r="G104" s="3" t="s">
        <v>21</v>
      </c>
      <c r="H104" s="5">
        <v>0</v>
      </c>
      <c r="I104" s="5" t="s">
        <v>20</v>
      </c>
      <c r="J104" s="5"/>
      <c r="K104" s="5"/>
      <c r="L104" s="5">
        <v>0</v>
      </c>
      <c r="M104" s="59">
        <v>46097</v>
      </c>
      <c r="N104" s="5"/>
      <c r="O104" s="5"/>
      <c r="P104" s="5"/>
      <c r="Q104" s="5" t="s">
        <v>181</v>
      </c>
    </row>
    <row r="105" spans="1:17" ht="15" customHeight="1">
      <c r="A105" s="12">
        <v>104</v>
      </c>
      <c r="B105" s="5" t="s">
        <v>183</v>
      </c>
      <c r="C105" s="5" t="s">
        <v>210</v>
      </c>
      <c r="D105" s="5"/>
      <c r="E105" s="52"/>
      <c r="F105" s="4" t="s">
        <v>20</v>
      </c>
      <c r="G105" s="3" t="s">
        <v>21</v>
      </c>
      <c r="H105" s="5">
        <v>0</v>
      </c>
      <c r="I105" s="5" t="s">
        <v>20</v>
      </c>
      <c r="J105" s="5"/>
      <c r="K105" s="5"/>
      <c r="L105" s="5">
        <v>0</v>
      </c>
      <c r="M105" s="59">
        <v>46097</v>
      </c>
      <c r="N105" s="5"/>
      <c r="O105" s="5"/>
      <c r="P105" s="5"/>
      <c r="Q105" s="5" t="s">
        <v>181</v>
      </c>
    </row>
    <row r="106" spans="1:17" ht="15" customHeight="1">
      <c r="A106" s="12">
        <v>105</v>
      </c>
      <c r="B106" s="5" t="s">
        <v>183</v>
      </c>
      <c r="C106" s="5" t="s">
        <v>211</v>
      </c>
      <c r="D106" s="5"/>
      <c r="E106" s="52"/>
      <c r="F106" s="4" t="s">
        <v>20</v>
      </c>
      <c r="G106" s="3" t="s">
        <v>21</v>
      </c>
      <c r="H106" s="5">
        <v>0</v>
      </c>
      <c r="I106" s="5" t="s">
        <v>20</v>
      </c>
      <c r="J106" s="5"/>
      <c r="K106" s="5"/>
      <c r="L106" s="5">
        <v>0</v>
      </c>
      <c r="M106" s="59">
        <v>46097</v>
      </c>
      <c r="N106" s="5"/>
      <c r="O106" s="5"/>
      <c r="P106" s="5"/>
      <c r="Q106" s="5" t="s">
        <v>181</v>
      </c>
    </row>
    <row r="107" spans="1:17" ht="15" customHeight="1">
      <c r="A107" s="12">
        <v>106</v>
      </c>
      <c r="B107" s="5" t="s">
        <v>212</v>
      </c>
      <c r="C107" s="5" t="s">
        <v>213</v>
      </c>
      <c r="D107" s="5"/>
      <c r="E107" s="52"/>
      <c r="F107" s="4" t="s">
        <v>20</v>
      </c>
      <c r="G107" s="3" t="s">
        <v>21</v>
      </c>
      <c r="H107" s="5">
        <v>0</v>
      </c>
      <c r="I107" s="5" t="s">
        <v>20</v>
      </c>
      <c r="J107" s="5"/>
      <c r="K107" s="5"/>
      <c r="L107" s="5">
        <v>0</v>
      </c>
      <c r="M107" s="59">
        <v>46097</v>
      </c>
      <c r="N107" s="5"/>
      <c r="O107" s="5"/>
      <c r="P107" s="5"/>
      <c r="Q107" s="5" t="s">
        <v>181</v>
      </c>
    </row>
    <row r="108" spans="1:17" ht="15" customHeight="1">
      <c r="A108" s="12">
        <v>107</v>
      </c>
      <c r="B108" s="5" t="s">
        <v>212</v>
      </c>
      <c r="C108" s="5" t="s">
        <v>214</v>
      </c>
      <c r="D108" s="5"/>
      <c r="E108" s="52"/>
      <c r="F108" s="4" t="s">
        <v>20</v>
      </c>
      <c r="G108" s="3" t="s">
        <v>21</v>
      </c>
      <c r="H108" s="5">
        <v>0</v>
      </c>
      <c r="I108" s="5" t="s">
        <v>20</v>
      </c>
      <c r="J108" s="5"/>
      <c r="K108" s="5"/>
      <c r="L108" s="5">
        <v>0</v>
      </c>
      <c r="M108" s="59">
        <v>46097</v>
      </c>
      <c r="N108" s="5"/>
      <c r="O108" s="5"/>
      <c r="P108" s="5"/>
      <c r="Q108" s="5" t="s">
        <v>181</v>
      </c>
    </row>
    <row r="109" spans="1:17" ht="15" customHeight="1">
      <c r="A109" s="12">
        <v>108</v>
      </c>
      <c r="B109" s="5" t="s">
        <v>212</v>
      </c>
      <c r="C109" s="5" t="s">
        <v>215</v>
      </c>
      <c r="D109" s="5"/>
      <c r="E109" s="52"/>
      <c r="F109" s="4" t="s">
        <v>20</v>
      </c>
      <c r="G109" s="3" t="s">
        <v>21</v>
      </c>
      <c r="H109" s="5">
        <v>0</v>
      </c>
      <c r="I109" s="5" t="s">
        <v>20</v>
      </c>
      <c r="J109" s="5"/>
      <c r="K109" s="5"/>
      <c r="L109" s="5">
        <v>0</v>
      </c>
      <c r="M109" s="59">
        <v>46097</v>
      </c>
      <c r="N109" s="5"/>
      <c r="O109" s="5"/>
      <c r="P109" s="5"/>
      <c r="Q109" s="5" t="s">
        <v>181</v>
      </c>
    </row>
    <row r="110" spans="1:17" ht="15" customHeight="1">
      <c r="A110" s="12">
        <v>109</v>
      </c>
      <c r="B110" s="5" t="s">
        <v>185</v>
      </c>
      <c r="C110" s="5" t="s">
        <v>216</v>
      </c>
      <c r="D110" s="5"/>
      <c r="E110" s="52"/>
      <c r="F110" s="4" t="s">
        <v>20</v>
      </c>
      <c r="G110" s="3" t="s">
        <v>21</v>
      </c>
      <c r="H110" s="5">
        <v>0</v>
      </c>
      <c r="I110" s="5" t="s">
        <v>20</v>
      </c>
      <c r="J110" s="5" t="s">
        <v>41</v>
      </c>
      <c r="K110" s="5"/>
      <c r="L110" s="5">
        <v>0</v>
      </c>
      <c r="M110" s="59">
        <v>46097</v>
      </c>
      <c r="N110" s="5"/>
      <c r="O110" s="5"/>
      <c r="P110" s="5"/>
      <c r="Q110" s="5" t="s">
        <v>181</v>
      </c>
    </row>
    <row r="111" spans="1:17" ht="15" customHeight="1">
      <c r="A111" s="12">
        <v>110</v>
      </c>
      <c r="B111" s="5" t="s">
        <v>53</v>
      </c>
      <c r="C111" s="5" t="s">
        <v>217</v>
      </c>
      <c r="D111" s="5"/>
      <c r="E111" s="52"/>
      <c r="F111" s="4" t="s">
        <v>20</v>
      </c>
      <c r="G111" s="3" t="s">
        <v>21</v>
      </c>
      <c r="H111" s="5">
        <v>0</v>
      </c>
      <c r="I111" s="5" t="s">
        <v>20</v>
      </c>
      <c r="J111" s="5"/>
      <c r="K111" s="5"/>
      <c r="L111" s="5">
        <v>0</v>
      </c>
      <c r="M111" s="59">
        <v>46097</v>
      </c>
      <c r="N111" s="5"/>
      <c r="O111" s="5"/>
      <c r="P111" s="5"/>
      <c r="Q111" s="5" t="s">
        <v>181</v>
      </c>
    </row>
    <row r="112" spans="1:17" ht="15" customHeight="1">
      <c r="A112" s="12">
        <v>111</v>
      </c>
      <c r="B112" s="5" t="s">
        <v>74</v>
      </c>
      <c r="C112" s="5" t="s">
        <v>218</v>
      </c>
      <c r="D112" s="5"/>
      <c r="E112" s="52"/>
      <c r="F112" s="4" t="s">
        <v>20</v>
      </c>
      <c r="G112" s="3" t="s">
        <v>21</v>
      </c>
      <c r="H112" s="5">
        <v>0</v>
      </c>
      <c r="I112" s="5" t="s">
        <v>20</v>
      </c>
      <c r="J112" s="5"/>
      <c r="K112" s="5"/>
      <c r="L112" s="5">
        <v>0</v>
      </c>
      <c r="M112" s="59">
        <v>46097</v>
      </c>
      <c r="N112" s="5"/>
      <c r="O112" s="5"/>
      <c r="P112" s="5"/>
      <c r="Q112" s="5" t="s">
        <v>181</v>
      </c>
    </row>
    <row r="113" spans="1:17" ht="15" customHeight="1">
      <c r="A113" s="12">
        <v>112</v>
      </c>
      <c r="B113" s="5" t="s">
        <v>74</v>
      </c>
      <c r="C113" s="5" t="s">
        <v>219</v>
      </c>
      <c r="D113" s="5"/>
      <c r="E113" s="52"/>
      <c r="F113" s="4" t="s">
        <v>20</v>
      </c>
      <c r="G113" s="3" t="s">
        <v>21</v>
      </c>
      <c r="H113" s="5">
        <v>0</v>
      </c>
      <c r="I113" s="5" t="s">
        <v>20</v>
      </c>
      <c r="J113" s="5"/>
      <c r="K113" s="5"/>
      <c r="L113" s="5">
        <v>0</v>
      </c>
      <c r="M113" s="59">
        <v>46097</v>
      </c>
      <c r="N113" s="5"/>
      <c r="O113" s="5"/>
      <c r="P113" s="5"/>
      <c r="Q113" s="5" t="s">
        <v>181</v>
      </c>
    </row>
    <row r="114" spans="1:17" ht="15" customHeight="1">
      <c r="A114" s="12">
        <v>113</v>
      </c>
      <c r="B114" s="5" t="s">
        <v>128</v>
      </c>
      <c r="C114" s="5" t="s">
        <v>220</v>
      </c>
      <c r="D114" s="5"/>
      <c r="E114" s="52"/>
      <c r="F114" s="4" t="s">
        <v>20</v>
      </c>
      <c r="G114" s="3" t="s">
        <v>21</v>
      </c>
      <c r="H114" s="5">
        <v>0</v>
      </c>
      <c r="I114" s="5" t="s">
        <v>20</v>
      </c>
      <c r="J114" s="5"/>
      <c r="K114" s="5"/>
      <c r="L114" s="5">
        <v>0</v>
      </c>
      <c r="M114" s="59">
        <v>46097</v>
      </c>
      <c r="N114" s="5"/>
      <c r="O114" s="5"/>
      <c r="P114" s="5"/>
      <c r="Q114" s="5" t="s">
        <v>181</v>
      </c>
    </row>
    <row r="115" spans="1:17" ht="15" customHeight="1">
      <c r="A115" s="12">
        <v>114</v>
      </c>
      <c r="B115" s="5" t="s">
        <v>221</v>
      </c>
      <c r="C115" s="5" t="s">
        <v>222</v>
      </c>
      <c r="D115" s="5"/>
      <c r="E115" s="52"/>
      <c r="F115" s="4" t="s">
        <v>20</v>
      </c>
      <c r="G115" s="3" t="s">
        <v>21</v>
      </c>
      <c r="H115" s="5">
        <v>0</v>
      </c>
      <c r="I115" s="5" t="s">
        <v>20</v>
      </c>
      <c r="J115" s="5"/>
      <c r="K115" s="5"/>
      <c r="L115" s="5">
        <v>0</v>
      </c>
      <c r="M115" s="59">
        <v>46097</v>
      </c>
      <c r="N115" s="5"/>
      <c r="O115" s="5"/>
      <c r="P115" s="5"/>
      <c r="Q115" s="5" t="s">
        <v>181</v>
      </c>
    </row>
    <row r="116" spans="1:17" ht="15" customHeight="1">
      <c r="A116" s="12">
        <v>115</v>
      </c>
      <c r="B116" s="5" t="s">
        <v>17</v>
      </c>
      <c r="C116" s="5" t="s">
        <v>223</v>
      </c>
      <c r="D116" s="5"/>
      <c r="E116" s="52"/>
      <c r="F116" s="4" t="s">
        <v>20</v>
      </c>
      <c r="G116" s="3" t="s">
        <v>21</v>
      </c>
      <c r="H116" s="5">
        <v>0</v>
      </c>
      <c r="I116" s="5" t="s">
        <v>20</v>
      </c>
      <c r="J116" s="5"/>
      <c r="K116" s="5"/>
      <c r="L116" s="5">
        <v>0</v>
      </c>
      <c r="M116" s="59">
        <v>46097</v>
      </c>
      <c r="N116" s="5"/>
      <c r="O116" s="5"/>
      <c r="P116" s="5"/>
      <c r="Q116" s="5" t="s">
        <v>181</v>
      </c>
    </row>
    <row r="117" spans="1:17" ht="15" customHeight="1">
      <c r="A117" s="12">
        <v>116</v>
      </c>
      <c r="B117" s="5" t="s">
        <v>17</v>
      </c>
      <c r="C117" s="5" t="s">
        <v>224</v>
      </c>
      <c r="D117" s="5"/>
      <c r="E117" s="52"/>
      <c r="F117" s="4" t="s">
        <v>20</v>
      </c>
      <c r="G117" s="3" t="s">
        <v>21</v>
      </c>
      <c r="H117" s="5">
        <v>0</v>
      </c>
      <c r="I117" s="5" t="s">
        <v>20</v>
      </c>
      <c r="J117" s="5"/>
      <c r="K117" s="5"/>
      <c r="L117" s="5">
        <v>0</v>
      </c>
      <c r="M117" s="59">
        <v>46097</v>
      </c>
      <c r="N117" s="5"/>
      <c r="O117" s="5"/>
      <c r="P117" s="5"/>
      <c r="Q117" s="5" t="s">
        <v>181</v>
      </c>
    </row>
    <row r="118" spans="1:17" ht="15" customHeight="1">
      <c r="A118" s="12">
        <v>117</v>
      </c>
      <c r="B118" s="5" t="s">
        <v>17</v>
      </c>
      <c r="C118" s="5" t="s">
        <v>225</v>
      </c>
      <c r="D118" s="5"/>
      <c r="E118" s="52"/>
      <c r="F118" s="4" t="s">
        <v>20</v>
      </c>
      <c r="G118" s="3" t="s">
        <v>21</v>
      </c>
      <c r="H118" s="5">
        <v>0</v>
      </c>
      <c r="I118" s="5" t="s">
        <v>20</v>
      </c>
      <c r="J118" s="5"/>
      <c r="K118" s="5"/>
      <c r="L118" s="5">
        <v>0</v>
      </c>
      <c r="M118" s="59">
        <v>46097</v>
      </c>
      <c r="N118" s="5"/>
      <c r="O118" s="5"/>
      <c r="P118" s="5"/>
      <c r="Q118" s="5" t="s">
        <v>181</v>
      </c>
    </row>
    <row r="119" spans="1:17" ht="15" customHeight="1">
      <c r="A119" s="12">
        <v>118</v>
      </c>
      <c r="B119" s="5" t="s">
        <v>17</v>
      </c>
      <c r="C119" s="5" t="s">
        <v>226</v>
      </c>
      <c r="D119" s="5"/>
      <c r="E119" s="52"/>
      <c r="F119" s="4" t="s">
        <v>20</v>
      </c>
      <c r="G119" s="3" t="s">
        <v>21</v>
      </c>
      <c r="H119" s="5">
        <v>0</v>
      </c>
      <c r="I119" s="5" t="s">
        <v>20</v>
      </c>
      <c r="J119" s="5"/>
      <c r="K119" s="5"/>
      <c r="L119" s="5">
        <v>0</v>
      </c>
      <c r="M119" s="59">
        <v>46097</v>
      </c>
      <c r="N119" s="5"/>
      <c r="O119" s="5"/>
      <c r="P119" s="5"/>
      <c r="Q119" s="5" t="s">
        <v>181</v>
      </c>
    </row>
    <row r="120" spans="1:17" ht="15" customHeight="1">
      <c r="A120" s="12">
        <v>119</v>
      </c>
      <c r="B120" s="5" t="s">
        <v>17</v>
      </c>
      <c r="C120" s="5" t="s">
        <v>227</v>
      </c>
      <c r="D120" s="5"/>
      <c r="E120" s="52"/>
      <c r="F120" s="4" t="s">
        <v>20</v>
      </c>
      <c r="G120" s="3" t="s">
        <v>21</v>
      </c>
      <c r="H120" s="5">
        <v>0</v>
      </c>
      <c r="I120" s="5" t="s">
        <v>20</v>
      </c>
      <c r="J120" s="5"/>
      <c r="K120" s="5"/>
      <c r="L120" s="5">
        <v>0</v>
      </c>
      <c r="M120" s="59">
        <v>46097</v>
      </c>
      <c r="N120" s="5"/>
      <c r="O120" s="5"/>
      <c r="P120" s="5"/>
      <c r="Q120" s="5" t="s">
        <v>181</v>
      </c>
    </row>
    <row r="121" spans="1:17" ht="15" customHeight="1">
      <c r="A121" s="12">
        <v>120</v>
      </c>
      <c r="B121" s="5" t="s">
        <v>17</v>
      </c>
      <c r="C121" s="5" t="s">
        <v>228</v>
      </c>
      <c r="D121" s="5"/>
      <c r="E121" s="52"/>
      <c r="F121" s="4" t="s">
        <v>20</v>
      </c>
      <c r="G121" s="3" t="s">
        <v>21</v>
      </c>
      <c r="H121" s="5">
        <v>0</v>
      </c>
      <c r="I121" s="5" t="s">
        <v>20</v>
      </c>
      <c r="J121" s="5"/>
      <c r="K121" s="5"/>
      <c r="L121" s="5">
        <v>0</v>
      </c>
      <c r="M121" s="59">
        <v>46097</v>
      </c>
      <c r="N121" s="5"/>
      <c r="O121" s="5"/>
      <c r="P121" s="5"/>
      <c r="Q121" s="5" t="s">
        <v>181</v>
      </c>
    </row>
    <row r="122" spans="1:17" ht="15" customHeight="1">
      <c r="A122" s="12">
        <v>121</v>
      </c>
      <c r="B122" s="5" t="s">
        <v>17</v>
      </c>
      <c r="C122" s="5" t="s">
        <v>229</v>
      </c>
      <c r="D122" s="5"/>
      <c r="E122" s="52"/>
      <c r="F122" s="4" t="s">
        <v>20</v>
      </c>
      <c r="G122" s="3" t="s">
        <v>21</v>
      </c>
      <c r="H122" s="5">
        <v>0</v>
      </c>
      <c r="I122" s="5" t="s">
        <v>20</v>
      </c>
      <c r="J122" s="5"/>
      <c r="K122" s="5"/>
      <c r="L122" s="5">
        <v>0</v>
      </c>
      <c r="M122" s="59">
        <v>46097</v>
      </c>
      <c r="N122" s="5"/>
      <c r="O122" s="5"/>
      <c r="P122" s="5"/>
      <c r="Q122" s="5" t="s">
        <v>181</v>
      </c>
    </row>
    <row r="123" spans="1:17" ht="15" customHeight="1">
      <c r="A123" s="12">
        <v>122</v>
      </c>
      <c r="B123" s="5" t="s">
        <v>17</v>
      </c>
      <c r="C123" s="5" t="s">
        <v>230</v>
      </c>
      <c r="D123" s="5"/>
      <c r="E123" s="52"/>
      <c r="F123" s="4" t="s">
        <v>20</v>
      </c>
      <c r="G123" s="3" t="s">
        <v>21</v>
      </c>
      <c r="H123" s="5">
        <v>0</v>
      </c>
      <c r="I123" s="5" t="s">
        <v>20</v>
      </c>
      <c r="J123" s="5"/>
      <c r="K123" s="5"/>
      <c r="L123" s="5">
        <v>0</v>
      </c>
      <c r="M123" s="59">
        <v>46097</v>
      </c>
      <c r="N123" s="5"/>
      <c r="O123" s="5"/>
      <c r="P123" s="5"/>
      <c r="Q123" s="5" t="s">
        <v>181</v>
      </c>
    </row>
    <row r="124" spans="1:17" ht="15" customHeight="1">
      <c r="A124" s="12">
        <v>123</v>
      </c>
      <c r="B124" s="5" t="s">
        <v>17</v>
      </c>
      <c r="C124" s="5" t="s">
        <v>231</v>
      </c>
      <c r="D124" s="5"/>
      <c r="E124" s="52"/>
      <c r="F124" s="4" t="s">
        <v>20</v>
      </c>
      <c r="G124" s="3" t="s">
        <v>21</v>
      </c>
      <c r="H124" s="5">
        <v>0</v>
      </c>
      <c r="I124" s="5" t="s">
        <v>20</v>
      </c>
      <c r="J124" s="5"/>
      <c r="K124" s="5"/>
      <c r="L124" s="5">
        <v>0</v>
      </c>
      <c r="M124" s="59">
        <v>46097</v>
      </c>
      <c r="N124" s="5"/>
      <c r="O124" s="5"/>
      <c r="P124" s="5"/>
      <c r="Q124" s="5" t="s">
        <v>181</v>
      </c>
    </row>
    <row r="125" spans="1:17" ht="15" customHeight="1">
      <c r="A125" s="12">
        <v>124</v>
      </c>
      <c r="B125" s="5" t="s">
        <v>17</v>
      </c>
      <c r="C125" s="5" t="s">
        <v>232</v>
      </c>
      <c r="D125" s="5"/>
      <c r="E125" s="52"/>
      <c r="F125" s="4" t="s">
        <v>20</v>
      </c>
      <c r="G125" s="3" t="s">
        <v>21</v>
      </c>
      <c r="H125" s="5">
        <v>0</v>
      </c>
      <c r="I125" s="5" t="s">
        <v>20</v>
      </c>
      <c r="J125" s="5"/>
      <c r="K125" s="5"/>
      <c r="L125" s="5">
        <v>0</v>
      </c>
      <c r="M125" s="59">
        <v>46097</v>
      </c>
      <c r="N125" s="5"/>
      <c r="O125" s="5"/>
      <c r="P125" s="5"/>
      <c r="Q125" s="5" t="s">
        <v>181</v>
      </c>
    </row>
    <row r="126" spans="1:17" ht="15" customHeight="1">
      <c r="A126" s="12">
        <v>125</v>
      </c>
      <c r="B126" s="5" t="s">
        <v>17</v>
      </c>
      <c r="C126" s="5" t="s">
        <v>233</v>
      </c>
      <c r="D126" s="5"/>
      <c r="E126" s="52"/>
      <c r="F126" s="4" t="s">
        <v>20</v>
      </c>
      <c r="G126" s="3" t="s">
        <v>21</v>
      </c>
      <c r="H126" s="5">
        <v>0</v>
      </c>
      <c r="I126" s="5" t="s">
        <v>20</v>
      </c>
      <c r="J126" s="5"/>
      <c r="K126" s="5"/>
      <c r="L126" s="5">
        <v>0</v>
      </c>
      <c r="M126" s="59">
        <v>46097</v>
      </c>
      <c r="N126" s="5"/>
      <c r="O126" s="5"/>
      <c r="P126" s="5"/>
      <c r="Q126" s="5" t="s">
        <v>181</v>
      </c>
    </row>
    <row r="127" spans="1:17" ht="15" customHeight="1">
      <c r="A127" s="12">
        <v>126</v>
      </c>
      <c r="B127" s="5" t="s">
        <v>17</v>
      </c>
      <c r="C127" s="5" t="s">
        <v>234</v>
      </c>
      <c r="D127" s="5"/>
      <c r="E127" s="52"/>
      <c r="F127" s="4" t="s">
        <v>20</v>
      </c>
      <c r="G127" s="3" t="s">
        <v>21</v>
      </c>
      <c r="H127" s="5">
        <v>0</v>
      </c>
      <c r="I127" s="5" t="s">
        <v>20</v>
      </c>
      <c r="J127" s="5"/>
      <c r="K127" s="5"/>
      <c r="L127" s="5">
        <v>0</v>
      </c>
      <c r="M127" s="59">
        <v>46097</v>
      </c>
      <c r="N127" s="5"/>
      <c r="O127" s="5"/>
      <c r="P127" s="5"/>
      <c r="Q127" s="5" t="s">
        <v>181</v>
      </c>
    </row>
    <row r="128" spans="1:17" ht="15" customHeight="1">
      <c r="A128" s="12">
        <v>127</v>
      </c>
      <c r="B128" s="5" t="s">
        <v>17</v>
      </c>
      <c r="C128" s="5" t="s">
        <v>235</v>
      </c>
      <c r="D128" s="5"/>
      <c r="E128" s="52"/>
      <c r="F128" s="4" t="s">
        <v>20</v>
      </c>
      <c r="G128" s="3" t="s">
        <v>21</v>
      </c>
      <c r="H128" s="5">
        <v>0</v>
      </c>
      <c r="I128" s="5" t="s">
        <v>20</v>
      </c>
      <c r="J128" s="5"/>
      <c r="K128" s="5"/>
      <c r="L128" s="5">
        <v>0</v>
      </c>
      <c r="M128" s="59">
        <v>46097</v>
      </c>
      <c r="N128" s="5"/>
      <c r="O128" s="5"/>
      <c r="P128" s="5"/>
      <c r="Q128" s="5" t="s">
        <v>181</v>
      </c>
    </row>
    <row r="129" spans="1:17" ht="15" customHeight="1">
      <c r="A129" s="12">
        <v>128</v>
      </c>
      <c r="B129" s="5" t="s">
        <v>17</v>
      </c>
      <c r="C129" s="5" t="s">
        <v>236</v>
      </c>
      <c r="D129" s="5"/>
      <c r="E129" s="52"/>
      <c r="F129" s="4" t="s">
        <v>20</v>
      </c>
      <c r="G129" s="3" t="s">
        <v>21</v>
      </c>
      <c r="H129" s="5">
        <v>0</v>
      </c>
      <c r="I129" s="5" t="s">
        <v>20</v>
      </c>
      <c r="J129" s="5"/>
      <c r="K129" s="5"/>
      <c r="L129" s="5">
        <v>0</v>
      </c>
      <c r="M129" s="59">
        <v>46097</v>
      </c>
      <c r="N129" s="5"/>
      <c r="O129" s="5"/>
      <c r="P129" s="5"/>
      <c r="Q129" s="5" t="s">
        <v>181</v>
      </c>
    </row>
    <row r="130" spans="1:17" ht="15" customHeight="1">
      <c r="A130" s="12">
        <v>129</v>
      </c>
      <c r="B130" s="5" t="s">
        <v>17</v>
      </c>
      <c r="C130" s="5" t="s">
        <v>237</v>
      </c>
      <c r="D130" s="5"/>
      <c r="E130" s="52"/>
      <c r="F130" s="4" t="s">
        <v>20</v>
      </c>
      <c r="G130" s="3" t="s">
        <v>21</v>
      </c>
      <c r="H130" s="5">
        <v>0</v>
      </c>
      <c r="I130" s="5" t="s">
        <v>20</v>
      </c>
      <c r="J130" s="5"/>
      <c r="K130" s="5"/>
      <c r="L130" s="5">
        <v>0</v>
      </c>
      <c r="M130" s="59">
        <v>46097</v>
      </c>
      <c r="N130" s="5"/>
      <c r="O130" s="5"/>
      <c r="P130" s="5"/>
      <c r="Q130" s="5" t="s">
        <v>181</v>
      </c>
    </row>
    <row r="131" spans="1:17" ht="15" customHeight="1">
      <c r="A131" s="12">
        <v>130</v>
      </c>
      <c r="B131" s="5" t="s">
        <v>17</v>
      </c>
      <c r="C131" s="5" t="s">
        <v>238</v>
      </c>
      <c r="D131" s="5"/>
      <c r="E131" s="52"/>
      <c r="F131" s="4" t="s">
        <v>20</v>
      </c>
      <c r="G131" s="3" t="s">
        <v>21</v>
      </c>
      <c r="H131" s="5">
        <v>0</v>
      </c>
      <c r="I131" s="5" t="s">
        <v>20</v>
      </c>
      <c r="J131" s="5"/>
      <c r="K131" s="5"/>
      <c r="L131" s="5">
        <v>0</v>
      </c>
      <c r="M131" s="59">
        <v>46097</v>
      </c>
      <c r="N131" s="5"/>
      <c r="O131" s="5"/>
      <c r="P131" s="5"/>
      <c r="Q131" s="5" t="s">
        <v>181</v>
      </c>
    </row>
    <row r="132" spans="1:17" ht="15" customHeight="1">
      <c r="A132" s="12">
        <v>131</v>
      </c>
      <c r="B132" s="5" t="s">
        <v>17</v>
      </c>
      <c r="C132" s="5" t="s">
        <v>239</v>
      </c>
      <c r="D132" s="5"/>
      <c r="E132" s="52"/>
      <c r="F132" s="4" t="s">
        <v>20</v>
      </c>
      <c r="G132" s="3" t="s">
        <v>21</v>
      </c>
      <c r="H132" s="5">
        <v>0</v>
      </c>
      <c r="I132" s="5" t="s">
        <v>20</v>
      </c>
      <c r="J132" s="5"/>
      <c r="K132" s="5"/>
      <c r="L132" s="5">
        <v>0</v>
      </c>
      <c r="M132" s="59">
        <v>46097</v>
      </c>
      <c r="N132" s="5"/>
      <c r="O132" s="5"/>
      <c r="P132" s="5"/>
      <c r="Q132" s="5" t="s">
        <v>181</v>
      </c>
    </row>
    <row r="133" spans="1:17" ht="15" customHeight="1">
      <c r="A133" s="12">
        <v>132</v>
      </c>
      <c r="B133" s="5" t="s">
        <v>17</v>
      </c>
      <c r="C133" s="5" t="s">
        <v>240</v>
      </c>
      <c r="D133" s="5"/>
      <c r="E133" s="52"/>
      <c r="F133" s="4" t="s">
        <v>20</v>
      </c>
      <c r="G133" s="3" t="s">
        <v>21</v>
      </c>
      <c r="H133" s="5">
        <v>0</v>
      </c>
      <c r="I133" s="5" t="s">
        <v>20</v>
      </c>
      <c r="J133" s="5"/>
      <c r="K133" s="5"/>
      <c r="L133" s="5">
        <v>0</v>
      </c>
      <c r="M133" s="59">
        <v>46097</v>
      </c>
      <c r="N133" s="5"/>
      <c r="O133" s="5"/>
      <c r="P133" s="5"/>
      <c r="Q133" s="5" t="s">
        <v>181</v>
      </c>
    </row>
    <row r="134" spans="1:17" ht="15" customHeight="1">
      <c r="A134" s="12">
        <v>133</v>
      </c>
      <c r="B134" s="5" t="s">
        <v>17</v>
      </c>
      <c r="C134" s="5" t="s">
        <v>241</v>
      </c>
      <c r="D134" s="5"/>
      <c r="E134" s="52"/>
      <c r="F134" s="4" t="s">
        <v>20</v>
      </c>
      <c r="G134" s="3" t="s">
        <v>21</v>
      </c>
      <c r="H134" s="5">
        <v>0</v>
      </c>
      <c r="I134" s="5" t="s">
        <v>20</v>
      </c>
      <c r="J134" s="5"/>
      <c r="K134" s="5"/>
      <c r="L134" s="5">
        <v>0</v>
      </c>
      <c r="M134" s="59">
        <v>46097</v>
      </c>
      <c r="N134" s="5"/>
      <c r="O134" s="5"/>
      <c r="P134" s="5"/>
      <c r="Q134" s="5" t="s">
        <v>181</v>
      </c>
    </row>
    <row r="135" spans="1:17" ht="15" customHeight="1">
      <c r="A135" s="12">
        <v>134</v>
      </c>
      <c r="B135" s="5" t="s">
        <v>17</v>
      </c>
      <c r="C135" s="5" t="s">
        <v>242</v>
      </c>
      <c r="D135" s="5"/>
      <c r="E135" s="52"/>
      <c r="F135" s="4" t="s">
        <v>20</v>
      </c>
      <c r="G135" s="3" t="s">
        <v>21</v>
      </c>
      <c r="H135" s="5">
        <v>0</v>
      </c>
      <c r="I135" s="5" t="s">
        <v>20</v>
      </c>
      <c r="J135" s="5"/>
      <c r="K135" s="5"/>
      <c r="L135" s="5">
        <v>0</v>
      </c>
      <c r="M135" s="59">
        <v>46097</v>
      </c>
      <c r="N135" s="5"/>
      <c r="O135" s="5"/>
      <c r="P135" s="5"/>
      <c r="Q135" s="5" t="s">
        <v>181</v>
      </c>
    </row>
    <row r="136" spans="1:17" ht="15" customHeight="1">
      <c r="A136" s="12">
        <v>135</v>
      </c>
      <c r="B136" s="5" t="s">
        <v>17</v>
      </c>
      <c r="C136" s="5" t="s">
        <v>243</v>
      </c>
      <c r="D136" s="5"/>
      <c r="E136" s="52"/>
      <c r="F136" s="4" t="s">
        <v>20</v>
      </c>
      <c r="G136" s="3" t="s">
        <v>21</v>
      </c>
      <c r="H136" s="5">
        <v>0</v>
      </c>
      <c r="I136" s="5" t="s">
        <v>20</v>
      </c>
      <c r="J136" s="5"/>
      <c r="K136" s="5"/>
      <c r="L136" s="5">
        <v>0</v>
      </c>
      <c r="M136" s="59">
        <v>46097</v>
      </c>
      <c r="N136" s="5"/>
      <c r="O136" s="5"/>
      <c r="P136" s="5"/>
      <c r="Q136" s="5" t="s">
        <v>181</v>
      </c>
    </row>
    <row r="137" spans="1:17" ht="15" customHeight="1">
      <c r="A137" s="12">
        <v>136</v>
      </c>
      <c r="B137" s="5" t="s">
        <v>17</v>
      </c>
      <c r="C137" s="5" t="s">
        <v>244</v>
      </c>
      <c r="D137" s="5"/>
      <c r="E137" s="52"/>
      <c r="F137" s="4" t="s">
        <v>20</v>
      </c>
      <c r="G137" s="3" t="s">
        <v>21</v>
      </c>
      <c r="H137" s="5">
        <v>0</v>
      </c>
      <c r="I137" s="5" t="s">
        <v>20</v>
      </c>
      <c r="J137" s="5"/>
      <c r="K137" s="5"/>
      <c r="L137" s="5">
        <v>0</v>
      </c>
      <c r="M137" s="59">
        <v>46097</v>
      </c>
      <c r="N137" s="5"/>
      <c r="O137" s="5"/>
      <c r="P137" s="5"/>
      <c r="Q137" s="5" t="s">
        <v>181</v>
      </c>
    </row>
    <row r="138" spans="1:17" ht="15" customHeight="1">
      <c r="A138" s="12">
        <v>137</v>
      </c>
      <c r="B138" s="5" t="s">
        <v>17</v>
      </c>
      <c r="C138" s="5" t="s">
        <v>245</v>
      </c>
      <c r="D138" s="5"/>
      <c r="E138" s="52"/>
      <c r="F138" s="4" t="s">
        <v>25</v>
      </c>
      <c r="G138" s="4" t="s">
        <v>25</v>
      </c>
      <c r="H138" s="5">
        <v>0</v>
      </c>
      <c r="I138" s="5" t="s">
        <v>20</v>
      </c>
      <c r="J138" s="5"/>
      <c r="K138" s="5"/>
      <c r="L138" s="5">
        <v>0</v>
      </c>
      <c r="M138" s="59">
        <v>46097</v>
      </c>
      <c r="N138" s="5"/>
      <c r="O138" s="5"/>
      <c r="P138" s="5"/>
      <c r="Q138" s="5" t="s">
        <v>181</v>
      </c>
    </row>
    <row r="139" spans="1:17" ht="15" customHeight="1">
      <c r="A139" s="12">
        <v>138</v>
      </c>
      <c r="B139" s="5" t="s">
        <v>17</v>
      </c>
      <c r="C139" s="5" t="s">
        <v>246</v>
      </c>
      <c r="D139" s="5"/>
      <c r="E139" s="52"/>
      <c r="F139" s="4" t="s">
        <v>20</v>
      </c>
      <c r="G139" s="3" t="s">
        <v>21</v>
      </c>
      <c r="H139" s="5">
        <v>0</v>
      </c>
      <c r="I139" s="5" t="s">
        <v>20</v>
      </c>
      <c r="J139" s="5"/>
      <c r="K139" s="5"/>
      <c r="L139" s="5">
        <v>0</v>
      </c>
      <c r="M139" s="59">
        <v>46097</v>
      </c>
      <c r="N139" s="5"/>
      <c r="O139" s="5"/>
      <c r="P139" s="5"/>
      <c r="Q139" s="5" t="s">
        <v>181</v>
      </c>
    </row>
    <row r="140" spans="1:17" ht="15" customHeight="1">
      <c r="A140" s="12">
        <v>139</v>
      </c>
      <c r="B140" s="5" t="s">
        <v>17</v>
      </c>
      <c r="C140" s="5" t="s">
        <v>247</v>
      </c>
      <c r="D140" s="5"/>
      <c r="E140" s="52"/>
      <c r="F140" s="4" t="s">
        <v>20</v>
      </c>
      <c r="G140" s="3" t="s">
        <v>21</v>
      </c>
      <c r="H140" s="5">
        <v>0</v>
      </c>
      <c r="I140" s="5" t="s">
        <v>20</v>
      </c>
      <c r="J140" s="5"/>
      <c r="K140" s="5"/>
      <c r="L140" s="5">
        <v>0</v>
      </c>
      <c r="M140" s="59">
        <v>46097</v>
      </c>
      <c r="N140" s="5"/>
      <c r="O140" s="5"/>
      <c r="P140" s="5"/>
      <c r="Q140" s="5" t="s">
        <v>181</v>
      </c>
    </row>
    <row r="141" spans="1:17" ht="15" customHeight="1">
      <c r="A141" s="12">
        <v>140</v>
      </c>
      <c r="B141" s="5" t="s">
        <v>17</v>
      </c>
      <c r="C141" s="5" t="s">
        <v>248</v>
      </c>
      <c r="D141" s="5"/>
      <c r="E141" s="52"/>
      <c r="F141" s="4" t="s">
        <v>20</v>
      </c>
      <c r="G141" s="3" t="s">
        <v>21</v>
      </c>
      <c r="H141" s="5">
        <v>0</v>
      </c>
      <c r="I141" s="5" t="s">
        <v>20</v>
      </c>
      <c r="J141" s="5"/>
      <c r="K141" s="5"/>
      <c r="L141" s="5">
        <v>0</v>
      </c>
      <c r="M141" s="59">
        <v>46097</v>
      </c>
      <c r="N141" s="5"/>
      <c r="O141" s="5"/>
      <c r="P141" s="5"/>
      <c r="Q141" s="5" t="s">
        <v>181</v>
      </c>
    </row>
    <row r="142" spans="1:17" ht="15" customHeight="1">
      <c r="A142" s="12">
        <v>141</v>
      </c>
      <c r="B142" s="5" t="s">
        <v>17</v>
      </c>
      <c r="C142" s="5" t="s">
        <v>249</v>
      </c>
      <c r="D142" s="5"/>
      <c r="E142" s="52"/>
      <c r="F142" s="4" t="s">
        <v>20</v>
      </c>
      <c r="G142" s="3" t="s">
        <v>21</v>
      </c>
      <c r="H142" s="5">
        <v>0</v>
      </c>
      <c r="I142" s="5" t="s">
        <v>20</v>
      </c>
      <c r="J142" s="5"/>
      <c r="K142" s="5"/>
      <c r="L142" s="5">
        <v>0</v>
      </c>
      <c r="M142" s="59">
        <v>46097</v>
      </c>
      <c r="N142" s="5"/>
      <c r="O142" s="5"/>
      <c r="P142" s="5"/>
      <c r="Q142" s="5" t="s">
        <v>181</v>
      </c>
    </row>
    <row r="143" spans="1:17" ht="15" customHeight="1">
      <c r="A143" s="12">
        <v>142</v>
      </c>
      <c r="B143" s="5" t="s">
        <v>17</v>
      </c>
      <c r="C143" s="5" t="s">
        <v>250</v>
      </c>
      <c r="D143" s="5"/>
      <c r="E143" s="52"/>
      <c r="F143" s="4" t="s">
        <v>20</v>
      </c>
      <c r="G143" s="3" t="s">
        <v>21</v>
      </c>
      <c r="H143" s="5">
        <v>0</v>
      </c>
      <c r="I143" s="5" t="s">
        <v>20</v>
      </c>
      <c r="J143" s="5"/>
      <c r="K143" s="5"/>
      <c r="L143" s="5">
        <v>0</v>
      </c>
      <c r="M143" s="59">
        <v>46097</v>
      </c>
      <c r="N143" s="5"/>
      <c r="O143" s="5"/>
      <c r="P143" s="5"/>
      <c r="Q143" s="5" t="s">
        <v>181</v>
      </c>
    </row>
    <row r="144" spans="1:17" ht="15" customHeight="1">
      <c r="A144" s="12">
        <v>143</v>
      </c>
      <c r="B144" s="5" t="s">
        <v>17</v>
      </c>
      <c r="C144" s="5" t="s">
        <v>251</v>
      </c>
      <c r="D144" s="5"/>
      <c r="E144" s="52"/>
      <c r="F144" s="4" t="s">
        <v>20</v>
      </c>
      <c r="G144" s="3" t="s">
        <v>21</v>
      </c>
      <c r="H144" s="5">
        <v>0</v>
      </c>
      <c r="I144" s="5" t="s">
        <v>20</v>
      </c>
      <c r="J144" s="5"/>
      <c r="K144" s="5"/>
      <c r="L144" s="5">
        <v>0</v>
      </c>
      <c r="M144" s="59">
        <v>46097</v>
      </c>
      <c r="N144" s="5"/>
      <c r="O144" s="5"/>
      <c r="P144" s="5"/>
      <c r="Q144" s="5" t="s">
        <v>181</v>
      </c>
    </row>
    <row r="145" spans="1:17" ht="15" customHeight="1">
      <c r="A145" s="12">
        <v>144</v>
      </c>
      <c r="B145" s="5" t="s">
        <v>17</v>
      </c>
      <c r="C145" s="5" t="s">
        <v>252</v>
      </c>
      <c r="D145" s="5"/>
      <c r="E145" s="52"/>
      <c r="F145" s="4" t="s">
        <v>20</v>
      </c>
      <c r="G145" s="3" t="s">
        <v>21</v>
      </c>
      <c r="H145" s="5">
        <v>0</v>
      </c>
      <c r="I145" s="5" t="s">
        <v>20</v>
      </c>
      <c r="J145" s="5"/>
      <c r="K145" s="5"/>
      <c r="L145" s="5">
        <v>0</v>
      </c>
      <c r="M145" s="59">
        <v>46097</v>
      </c>
      <c r="N145" s="5"/>
      <c r="O145" s="5"/>
      <c r="P145" s="5"/>
      <c r="Q145" s="5" t="s">
        <v>181</v>
      </c>
    </row>
    <row r="146" spans="1:17" ht="15" customHeight="1">
      <c r="A146" s="12">
        <v>145</v>
      </c>
      <c r="B146" s="5" t="s">
        <v>17</v>
      </c>
      <c r="C146" s="5" t="s">
        <v>253</v>
      </c>
      <c r="D146" s="5"/>
      <c r="E146" s="52"/>
      <c r="F146" s="4" t="s">
        <v>20</v>
      </c>
      <c r="G146" s="3" t="s">
        <v>21</v>
      </c>
      <c r="H146" s="5">
        <v>0</v>
      </c>
      <c r="I146" s="5" t="s">
        <v>20</v>
      </c>
      <c r="J146" s="5"/>
      <c r="K146" s="5"/>
      <c r="L146" s="5">
        <v>0</v>
      </c>
      <c r="M146" s="59">
        <v>46097</v>
      </c>
      <c r="N146" s="5"/>
      <c r="O146" s="5"/>
      <c r="P146" s="5"/>
      <c r="Q146" s="5" t="s">
        <v>181</v>
      </c>
    </row>
    <row r="147" spans="1:17" ht="15" customHeight="1">
      <c r="A147" s="12">
        <v>146</v>
      </c>
      <c r="B147" s="5" t="s">
        <v>17</v>
      </c>
      <c r="C147" s="5" t="s">
        <v>254</v>
      </c>
      <c r="D147" s="5"/>
      <c r="E147" s="52"/>
      <c r="F147" s="4" t="s">
        <v>20</v>
      </c>
      <c r="G147" s="3" t="s">
        <v>21</v>
      </c>
      <c r="H147" s="5">
        <v>0</v>
      </c>
      <c r="I147" s="5" t="s">
        <v>20</v>
      </c>
      <c r="J147" s="5"/>
      <c r="K147" s="5"/>
      <c r="L147" s="5">
        <v>0</v>
      </c>
      <c r="M147" s="59">
        <v>46097</v>
      </c>
      <c r="N147" s="5"/>
      <c r="O147" s="5"/>
      <c r="P147" s="5"/>
      <c r="Q147" s="5" t="s">
        <v>181</v>
      </c>
    </row>
    <row r="148" spans="1:17" ht="15" customHeight="1">
      <c r="A148" s="12">
        <v>147</v>
      </c>
      <c r="B148" s="5" t="s">
        <v>17</v>
      </c>
      <c r="C148" s="5" t="s">
        <v>255</v>
      </c>
      <c r="D148" s="5"/>
      <c r="E148" s="52"/>
      <c r="F148" s="4" t="s">
        <v>20</v>
      </c>
      <c r="G148" s="3" t="s">
        <v>21</v>
      </c>
      <c r="H148" s="5">
        <v>0</v>
      </c>
      <c r="I148" s="5" t="s">
        <v>20</v>
      </c>
      <c r="J148" s="5"/>
      <c r="K148" s="5"/>
      <c r="L148" s="5">
        <v>0</v>
      </c>
      <c r="M148" s="59">
        <v>46097</v>
      </c>
      <c r="N148" s="5"/>
      <c r="O148" s="5"/>
      <c r="P148" s="5"/>
      <c r="Q148" s="5" t="s">
        <v>181</v>
      </c>
    </row>
    <row r="149" spans="1:17" ht="15" customHeight="1">
      <c r="A149" s="12">
        <v>148</v>
      </c>
      <c r="B149" s="5" t="s">
        <v>17</v>
      </c>
      <c r="C149" s="5" t="s">
        <v>256</v>
      </c>
      <c r="D149" s="5"/>
      <c r="E149" s="52"/>
      <c r="F149" s="4" t="s">
        <v>20</v>
      </c>
      <c r="G149" s="3" t="s">
        <v>21</v>
      </c>
      <c r="H149" s="5">
        <v>0</v>
      </c>
      <c r="I149" s="5" t="s">
        <v>20</v>
      </c>
      <c r="J149" s="5"/>
      <c r="K149" s="5"/>
      <c r="L149" s="5">
        <v>0</v>
      </c>
      <c r="M149" s="59">
        <v>46097</v>
      </c>
      <c r="N149" s="5"/>
      <c r="O149" s="5"/>
      <c r="P149" s="5"/>
      <c r="Q149" s="5" t="s">
        <v>181</v>
      </c>
    </row>
    <row r="150" spans="1:17" ht="15" customHeight="1">
      <c r="A150" s="12">
        <v>149</v>
      </c>
      <c r="B150" s="5" t="s">
        <v>17</v>
      </c>
      <c r="C150" s="5" t="s">
        <v>257</v>
      </c>
      <c r="D150" s="5"/>
      <c r="E150" s="52"/>
      <c r="F150" s="4" t="s">
        <v>20</v>
      </c>
      <c r="G150" s="3" t="s">
        <v>21</v>
      </c>
      <c r="H150" s="5">
        <v>0</v>
      </c>
      <c r="I150" s="5" t="s">
        <v>20</v>
      </c>
      <c r="J150" s="5"/>
      <c r="K150" s="5"/>
      <c r="L150" s="5">
        <v>0</v>
      </c>
      <c r="M150" s="59">
        <v>46097</v>
      </c>
      <c r="N150" s="5"/>
      <c r="O150" s="5"/>
      <c r="P150" s="5"/>
      <c r="Q150" s="5" t="s">
        <v>181</v>
      </c>
    </row>
    <row r="151" spans="1:17" ht="15" customHeight="1">
      <c r="A151" s="12">
        <v>150</v>
      </c>
      <c r="B151" s="5" t="s">
        <v>17</v>
      </c>
      <c r="C151" s="5" t="s">
        <v>258</v>
      </c>
      <c r="D151" s="5"/>
      <c r="E151" s="52"/>
      <c r="F151" s="4" t="s">
        <v>20</v>
      </c>
      <c r="G151" s="3" t="s">
        <v>21</v>
      </c>
      <c r="H151" s="5">
        <v>0</v>
      </c>
      <c r="I151" s="5" t="s">
        <v>20</v>
      </c>
      <c r="J151" s="5"/>
      <c r="K151" s="5"/>
      <c r="L151" s="5">
        <v>0</v>
      </c>
      <c r="M151" s="59">
        <v>46097</v>
      </c>
      <c r="N151" s="5"/>
      <c r="O151" s="5"/>
      <c r="P151" s="5"/>
      <c r="Q151" s="5" t="s">
        <v>181</v>
      </c>
    </row>
    <row r="152" spans="1:17" ht="15" customHeight="1">
      <c r="A152" s="12">
        <v>151</v>
      </c>
      <c r="B152" s="5" t="s">
        <v>17</v>
      </c>
      <c r="C152" s="5" t="s">
        <v>259</v>
      </c>
      <c r="D152" s="5"/>
      <c r="E152" s="52"/>
      <c r="F152" s="4" t="s">
        <v>20</v>
      </c>
      <c r="G152" s="3" t="s">
        <v>21</v>
      </c>
      <c r="H152" s="5">
        <v>0</v>
      </c>
      <c r="I152" s="5" t="s">
        <v>20</v>
      </c>
      <c r="J152" s="5"/>
      <c r="K152" s="5"/>
      <c r="L152" s="5">
        <v>0</v>
      </c>
      <c r="M152" s="59">
        <v>46097</v>
      </c>
      <c r="N152" s="5"/>
      <c r="O152" s="5"/>
      <c r="P152" s="5"/>
      <c r="Q152" s="5" t="s">
        <v>181</v>
      </c>
    </row>
    <row r="153" spans="1:17" ht="15" customHeight="1">
      <c r="A153" s="12">
        <v>152</v>
      </c>
      <c r="B153" s="5" t="s">
        <v>17</v>
      </c>
      <c r="C153" s="5" t="s">
        <v>260</v>
      </c>
      <c r="D153" s="5"/>
      <c r="E153" s="52"/>
      <c r="F153" s="4" t="s">
        <v>20</v>
      </c>
      <c r="G153" s="3" t="s">
        <v>21</v>
      </c>
      <c r="H153" s="5">
        <v>0</v>
      </c>
      <c r="I153" s="5" t="s">
        <v>20</v>
      </c>
      <c r="J153" s="5"/>
      <c r="K153" s="5"/>
      <c r="L153" s="5">
        <v>0</v>
      </c>
      <c r="M153" s="59">
        <v>46097</v>
      </c>
      <c r="N153" s="5"/>
      <c r="O153" s="5"/>
      <c r="P153" s="5"/>
      <c r="Q153" s="5" t="s">
        <v>181</v>
      </c>
    </row>
    <row r="154" spans="1:17" ht="15" customHeight="1">
      <c r="A154" s="12">
        <v>153</v>
      </c>
      <c r="B154" s="5" t="s">
        <v>17</v>
      </c>
      <c r="C154" s="5" t="s">
        <v>261</v>
      </c>
      <c r="D154" s="5"/>
      <c r="E154" s="52"/>
      <c r="F154" s="4" t="s">
        <v>20</v>
      </c>
      <c r="G154" s="3" t="s">
        <v>21</v>
      </c>
      <c r="H154" s="5">
        <v>0</v>
      </c>
      <c r="I154" s="5" t="s">
        <v>20</v>
      </c>
      <c r="J154" s="5"/>
      <c r="K154" s="5"/>
      <c r="L154" s="5">
        <v>0</v>
      </c>
      <c r="M154" s="59">
        <v>46097</v>
      </c>
      <c r="N154" s="5"/>
      <c r="O154" s="5"/>
      <c r="P154" s="5"/>
      <c r="Q154" s="5" t="s">
        <v>181</v>
      </c>
    </row>
    <row r="155" spans="1:17" ht="15" customHeight="1">
      <c r="A155" s="12">
        <v>154</v>
      </c>
      <c r="B155" s="5" t="s">
        <v>108</v>
      </c>
      <c r="C155" s="5" t="s">
        <v>262</v>
      </c>
      <c r="D155" s="5"/>
      <c r="E155" s="52"/>
      <c r="F155" s="4" t="s">
        <v>20</v>
      </c>
      <c r="G155" s="3" t="s">
        <v>21</v>
      </c>
      <c r="H155" s="5">
        <v>0</v>
      </c>
      <c r="I155" s="5" t="s">
        <v>20</v>
      </c>
      <c r="J155" s="5"/>
      <c r="K155" s="5"/>
      <c r="L155" s="5">
        <v>0</v>
      </c>
      <c r="M155" s="59">
        <v>46097</v>
      </c>
      <c r="N155" s="5"/>
      <c r="O155" s="5"/>
      <c r="P155" s="5"/>
      <c r="Q155" s="5" t="s">
        <v>181</v>
      </c>
    </row>
    <row r="156" spans="1:17" ht="15" customHeight="1">
      <c r="A156" s="12">
        <v>155</v>
      </c>
      <c r="B156" s="5" t="s">
        <v>108</v>
      </c>
      <c r="C156" s="5" t="s">
        <v>263</v>
      </c>
      <c r="D156" s="5"/>
      <c r="E156" s="52"/>
      <c r="F156" s="4" t="s">
        <v>20</v>
      </c>
      <c r="G156" s="3" t="s">
        <v>21</v>
      </c>
      <c r="H156" s="5">
        <v>0</v>
      </c>
      <c r="I156" s="5" t="s">
        <v>20</v>
      </c>
      <c r="J156" s="5"/>
      <c r="K156" s="5"/>
      <c r="L156" s="5">
        <v>0</v>
      </c>
      <c r="M156" s="59">
        <v>46097</v>
      </c>
      <c r="N156" s="5"/>
      <c r="O156" s="5"/>
      <c r="P156" s="5"/>
      <c r="Q156" s="5" t="s">
        <v>181</v>
      </c>
    </row>
    <row r="157" spans="1:17" ht="15" customHeight="1">
      <c r="A157" s="12">
        <v>156</v>
      </c>
      <c r="B157" s="5" t="s">
        <v>108</v>
      </c>
      <c r="C157" s="5" t="s">
        <v>264</v>
      </c>
      <c r="D157" s="5"/>
      <c r="E157" s="52"/>
      <c r="F157" s="4" t="s">
        <v>20</v>
      </c>
      <c r="G157" s="3" t="s">
        <v>21</v>
      </c>
      <c r="H157" s="5">
        <v>0</v>
      </c>
      <c r="I157" s="5" t="s">
        <v>20</v>
      </c>
      <c r="J157" s="5"/>
      <c r="K157" s="5"/>
      <c r="L157" s="5">
        <v>0</v>
      </c>
      <c r="M157" s="59">
        <v>46097</v>
      </c>
      <c r="N157" s="5"/>
      <c r="O157" s="5"/>
      <c r="P157" s="5"/>
      <c r="Q157" s="5" t="s">
        <v>181</v>
      </c>
    </row>
    <row r="158" spans="1:17" ht="15" customHeight="1">
      <c r="A158" s="12">
        <v>157</v>
      </c>
      <c r="B158" s="5" t="s">
        <v>108</v>
      </c>
      <c r="C158" s="5" t="s">
        <v>265</v>
      </c>
      <c r="D158" s="5"/>
      <c r="E158" s="52"/>
      <c r="F158" s="4" t="s">
        <v>20</v>
      </c>
      <c r="G158" s="3" t="s">
        <v>21</v>
      </c>
      <c r="H158" s="5">
        <v>0</v>
      </c>
      <c r="I158" s="5" t="s">
        <v>20</v>
      </c>
      <c r="J158" s="5"/>
      <c r="K158" s="5"/>
      <c r="L158" s="5">
        <v>0</v>
      </c>
      <c r="M158" s="59">
        <v>46097</v>
      </c>
      <c r="N158" s="5"/>
      <c r="O158" s="5"/>
      <c r="P158" s="5"/>
      <c r="Q158" s="5" t="s">
        <v>181</v>
      </c>
    </row>
    <row r="159" spans="1:17" ht="15" customHeight="1">
      <c r="A159" s="12">
        <v>158</v>
      </c>
      <c r="B159" s="5" t="s">
        <v>108</v>
      </c>
      <c r="C159" s="5" t="s">
        <v>266</v>
      </c>
      <c r="D159" s="5"/>
      <c r="E159" s="52"/>
      <c r="F159" s="4" t="s">
        <v>20</v>
      </c>
      <c r="G159" s="3" t="s">
        <v>21</v>
      </c>
      <c r="H159" s="5">
        <v>0</v>
      </c>
      <c r="I159" s="5" t="s">
        <v>20</v>
      </c>
      <c r="J159" s="5"/>
      <c r="K159" s="5"/>
      <c r="L159" s="5">
        <v>0</v>
      </c>
      <c r="M159" s="59">
        <v>46097</v>
      </c>
      <c r="N159" s="5"/>
      <c r="O159" s="5"/>
      <c r="P159" s="5"/>
      <c r="Q159" s="5" t="s">
        <v>181</v>
      </c>
    </row>
    <row r="160" spans="1:17" ht="15" customHeight="1">
      <c r="A160" s="12">
        <v>159</v>
      </c>
      <c r="B160" s="5" t="s">
        <v>108</v>
      </c>
      <c r="C160" s="5" t="s">
        <v>267</v>
      </c>
      <c r="D160" s="5"/>
      <c r="E160" s="52"/>
      <c r="F160" s="4" t="s">
        <v>20</v>
      </c>
      <c r="G160" s="3" t="s">
        <v>21</v>
      </c>
      <c r="H160" s="5">
        <v>0</v>
      </c>
      <c r="I160" s="5" t="s">
        <v>20</v>
      </c>
      <c r="J160" s="5"/>
      <c r="K160" s="5"/>
      <c r="L160" s="5">
        <v>0</v>
      </c>
      <c r="M160" s="59">
        <v>46097</v>
      </c>
      <c r="N160" s="5"/>
      <c r="O160" s="5"/>
      <c r="P160" s="5"/>
      <c r="Q160" s="5" t="s">
        <v>181</v>
      </c>
    </row>
    <row r="161" spans="1:17" ht="15" customHeight="1">
      <c r="A161" s="12">
        <v>160</v>
      </c>
      <c r="B161" s="5" t="s">
        <v>108</v>
      </c>
      <c r="C161" s="5" t="s">
        <v>268</v>
      </c>
      <c r="D161" s="5"/>
      <c r="E161" s="52"/>
      <c r="F161" s="4" t="s">
        <v>20</v>
      </c>
      <c r="G161" s="3" t="s">
        <v>21</v>
      </c>
      <c r="H161" s="5">
        <v>0</v>
      </c>
      <c r="I161" s="5" t="s">
        <v>20</v>
      </c>
      <c r="J161" s="5"/>
      <c r="K161" s="5"/>
      <c r="L161" s="5">
        <v>0</v>
      </c>
      <c r="M161" s="59">
        <v>46097</v>
      </c>
      <c r="N161" s="5"/>
      <c r="O161" s="5"/>
      <c r="P161" s="5"/>
      <c r="Q161" s="5" t="s">
        <v>181</v>
      </c>
    </row>
    <row r="162" spans="1:17" ht="15" customHeight="1">
      <c r="A162" s="12">
        <v>161</v>
      </c>
      <c r="B162" s="5" t="s">
        <v>108</v>
      </c>
      <c r="C162" s="5" t="s">
        <v>269</v>
      </c>
      <c r="D162" s="5"/>
      <c r="E162" s="52"/>
      <c r="F162" s="4" t="s">
        <v>20</v>
      </c>
      <c r="G162" s="3" t="s">
        <v>21</v>
      </c>
      <c r="H162" s="5">
        <v>0</v>
      </c>
      <c r="I162" s="5" t="s">
        <v>20</v>
      </c>
      <c r="J162" s="5"/>
      <c r="K162" s="5"/>
      <c r="L162" s="5">
        <v>0</v>
      </c>
      <c r="M162" s="59">
        <v>46097</v>
      </c>
      <c r="N162" s="5"/>
      <c r="O162" s="5"/>
      <c r="P162" s="5"/>
      <c r="Q162" s="5" t="s">
        <v>181</v>
      </c>
    </row>
    <row r="163" spans="1:17" ht="15" customHeight="1">
      <c r="A163" s="12">
        <v>162</v>
      </c>
      <c r="B163" s="5" t="s">
        <v>108</v>
      </c>
      <c r="C163" s="5" t="s">
        <v>270</v>
      </c>
      <c r="D163" s="5"/>
      <c r="E163" s="52"/>
      <c r="F163" s="4" t="s">
        <v>20</v>
      </c>
      <c r="G163" s="3" t="s">
        <v>21</v>
      </c>
      <c r="H163" s="5">
        <v>0</v>
      </c>
      <c r="I163" s="5" t="s">
        <v>20</v>
      </c>
      <c r="J163" s="5"/>
      <c r="K163" s="5"/>
      <c r="L163" s="5">
        <v>0</v>
      </c>
      <c r="M163" s="59">
        <v>46097</v>
      </c>
      <c r="N163" s="5"/>
      <c r="O163" s="5"/>
      <c r="P163" s="5"/>
      <c r="Q163" s="5" t="s">
        <v>181</v>
      </c>
    </row>
    <row r="164" spans="1:17" ht="15" customHeight="1">
      <c r="A164" s="12">
        <v>163</v>
      </c>
      <c r="B164" s="5" t="s">
        <v>108</v>
      </c>
      <c r="C164" s="5" t="s">
        <v>271</v>
      </c>
      <c r="D164" s="5"/>
      <c r="E164" s="52"/>
      <c r="F164" s="4" t="s">
        <v>20</v>
      </c>
      <c r="G164" s="3" t="s">
        <v>21</v>
      </c>
      <c r="H164" s="5">
        <v>0</v>
      </c>
      <c r="I164" s="5" t="s">
        <v>20</v>
      </c>
      <c r="J164" s="5"/>
      <c r="K164" s="5"/>
      <c r="L164" s="5">
        <v>0</v>
      </c>
      <c r="M164" s="59">
        <v>46097</v>
      </c>
      <c r="N164" s="5"/>
      <c r="O164" s="5"/>
      <c r="P164" s="5"/>
      <c r="Q164" s="5" t="s">
        <v>181</v>
      </c>
    </row>
    <row r="165" spans="1:17" ht="15" customHeight="1">
      <c r="A165" s="12">
        <v>164</v>
      </c>
      <c r="B165" s="5" t="s">
        <v>108</v>
      </c>
      <c r="C165" s="5" t="s">
        <v>272</v>
      </c>
      <c r="D165" s="5"/>
      <c r="E165" s="52"/>
      <c r="F165" s="4" t="s">
        <v>20</v>
      </c>
      <c r="G165" s="3" t="s">
        <v>21</v>
      </c>
      <c r="H165" s="5">
        <v>0</v>
      </c>
      <c r="I165" s="5" t="s">
        <v>20</v>
      </c>
      <c r="J165" s="5"/>
      <c r="K165" s="5"/>
      <c r="L165" s="5">
        <v>0</v>
      </c>
      <c r="M165" s="59">
        <v>46097</v>
      </c>
      <c r="N165" s="5"/>
      <c r="O165" s="5"/>
      <c r="P165" s="5"/>
      <c r="Q165" s="5" t="s">
        <v>181</v>
      </c>
    </row>
    <row r="166" spans="1:17" ht="15" customHeight="1">
      <c r="A166" s="12">
        <v>165</v>
      </c>
      <c r="B166" s="5" t="s">
        <v>108</v>
      </c>
      <c r="C166" s="5" t="s">
        <v>273</v>
      </c>
      <c r="D166" s="5"/>
      <c r="E166" s="52"/>
      <c r="F166" s="4" t="s">
        <v>20</v>
      </c>
      <c r="G166" s="3" t="s">
        <v>21</v>
      </c>
      <c r="H166" s="5">
        <v>0</v>
      </c>
      <c r="I166" s="5" t="s">
        <v>20</v>
      </c>
      <c r="J166" s="5"/>
      <c r="K166" s="5"/>
      <c r="L166" s="5">
        <v>0</v>
      </c>
      <c r="M166" s="59">
        <v>46097</v>
      </c>
      <c r="N166" s="5"/>
      <c r="O166" s="5"/>
      <c r="P166" s="5"/>
      <c r="Q166" s="5" t="s">
        <v>181</v>
      </c>
    </row>
    <row r="167" spans="1:17" ht="15" customHeight="1">
      <c r="A167" s="12">
        <v>166</v>
      </c>
      <c r="B167" s="5" t="s">
        <v>108</v>
      </c>
      <c r="C167" s="5" t="s">
        <v>274</v>
      </c>
      <c r="D167" s="5"/>
      <c r="E167" s="52"/>
      <c r="F167" s="4" t="s">
        <v>20</v>
      </c>
      <c r="G167" s="3" t="s">
        <v>21</v>
      </c>
      <c r="H167" s="5">
        <v>0</v>
      </c>
      <c r="I167" s="5" t="s">
        <v>20</v>
      </c>
      <c r="J167" s="5"/>
      <c r="K167" s="5"/>
      <c r="L167" s="5">
        <v>0</v>
      </c>
      <c r="M167" s="59">
        <v>46097</v>
      </c>
      <c r="N167" s="5"/>
      <c r="O167" s="5"/>
      <c r="P167" s="5"/>
      <c r="Q167" s="5" t="s">
        <v>181</v>
      </c>
    </row>
    <row r="168" spans="1:17" ht="15" customHeight="1">
      <c r="A168" s="12">
        <v>167</v>
      </c>
      <c r="B168" s="5" t="s">
        <v>108</v>
      </c>
      <c r="C168" s="5" t="s">
        <v>275</v>
      </c>
      <c r="D168" s="5"/>
      <c r="E168" s="52"/>
      <c r="F168" s="4" t="s">
        <v>20</v>
      </c>
      <c r="G168" s="3" t="s">
        <v>21</v>
      </c>
      <c r="H168" s="5">
        <v>0</v>
      </c>
      <c r="I168" s="5" t="s">
        <v>20</v>
      </c>
      <c r="J168" s="5"/>
      <c r="K168" s="5"/>
      <c r="L168" s="5">
        <v>0</v>
      </c>
      <c r="M168" s="59">
        <v>46097</v>
      </c>
      <c r="N168" s="5"/>
      <c r="O168" s="5"/>
      <c r="P168" s="5"/>
      <c r="Q168" s="5" t="s">
        <v>181</v>
      </c>
    </row>
    <row r="169" spans="1:17" ht="15" customHeight="1">
      <c r="A169" s="12">
        <v>168</v>
      </c>
      <c r="B169" s="5" t="s">
        <v>108</v>
      </c>
      <c r="C169" s="5" t="s">
        <v>276</v>
      </c>
      <c r="D169" s="5"/>
      <c r="E169" s="52"/>
      <c r="F169" s="4" t="s">
        <v>20</v>
      </c>
      <c r="G169" s="3" t="s">
        <v>21</v>
      </c>
      <c r="H169" s="5">
        <v>0</v>
      </c>
      <c r="I169" s="5" t="s">
        <v>20</v>
      </c>
      <c r="J169" s="5"/>
      <c r="K169" s="5"/>
      <c r="L169" s="5">
        <v>0</v>
      </c>
      <c r="M169" s="59">
        <v>46097</v>
      </c>
      <c r="N169" s="5"/>
      <c r="O169" s="5"/>
      <c r="P169" s="5"/>
      <c r="Q169" s="5" t="s">
        <v>181</v>
      </c>
    </row>
    <row r="170" spans="1:17" ht="15" customHeight="1">
      <c r="A170" s="12">
        <v>169</v>
      </c>
      <c r="B170" s="5" t="s">
        <v>108</v>
      </c>
      <c r="C170" s="5" t="s">
        <v>277</v>
      </c>
      <c r="D170" s="5"/>
      <c r="E170" s="52"/>
      <c r="F170" s="4" t="s">
        <v>20</v>
      </c>
      <c r="G170" s="3" t="s">
        <v>21</v>
      </c>
      <c r="H170" s="5">
        <v>0</v>
      </c>
      <c r="I170" s="5" t="s">
        <v>20</v>
      </c>
      <c r="J170" s="5"/>
      <c r="K170" s="5"/>
      <c r="L170" s="5">
        <v>0</v>
      </c>
      <c r="M170" s="59">
        <v>46097</v>
      </c>
      <c r="N170" s="5"/>
      <c r="O170" s="5"/>
      <c r="P170" s="5"/>
      <c r="Q170" s="5" t="s">
        <v>181</v>
      </c>
    </row>
    <row r="171" spans="1:17" ht="15" customHeight="1">
      <c r="A171" s="12">
        <v>170</v>
      </c>
      <c r="B171" s="5" t="s">
        <v>185</v>
      </c>
      <c r="C171" s="5" t="s">
        <v>278</v>
      </c>
      <c r="D171" s="5"/>
      <c r="E171" s="52"/>
      <c r="F171" s="4" t="s">
        <v>20</v>
      </c>
      <c r="G171" s="3" t="s">
        <v>21</v>
      </c>
      <c r="H171" s="5">
        <v>0</v>
      </c>
      <c r="I171" s="5" t="s">
        <v>20</v>
      </c>
      <c r="J171" s="5"/>
      <c r="K171" s="5"/>
      <c r="L171" s="5">
        <v>0</v>
      </c>
      <c r="M171" s="59">
        <v>46097</v>
      </c>
      <c r="N171" s="5"/>
      <c r="O171" s="5"/>
      <c r="P171" s="5"/>
      <c r="Q171" s="5" t="s">
        <v>181</v>
      </c>
    </row>
    <row r="172" spans="1:17" ht="15" customHeight="1">
      <c r="A172" s="12">
        <v>171</v>
      </c>
      <c r="B172" s="5" t="s">
        <v>185</v>
      </c>
      <c r="C172" s="5" t="s">
        <v>279</v>
      </c>
      <c r="D172" s="5"/>
      <c r="E172" s="52"/>
      <c r="F172" s="4" t="s">
        <v>20</v>
      </c>
      <c r="G172" s="3" t="s">
        <v>21</v>
      </c>
      <c r="H172" s="5">
        <v>0</v>
      </c>
      <c r="I172" s="5" t="s">
        <v>20</v>
      </c>
      <c r="J172" s="5"/>
      <c r="K172" s="5"/>
      <c r="L172" s="5">
        <v>0</v>
      </c>
      <c r="M172" s="59">
        <v>46097</v>
      </c>
      <c r="N172" s="5"/>
      <c r="O172" s="5"/>
      <c r="P172" s="5"/>
      <c r="Q172" s="5" t="s">
        <v>181</v>
      </c>
    </row>
    <row r="173" spans="1:17" ht="15" customHeight="1">
      <c r="A173" s="12">
        <v>172</v>
      </c>
      <c r="B173" s="5" t="s">
        <v>185</v>
      </c>
      <c r="C173" s="5" t="s">
        <v>280</v>
      </c>
      <c r="D173" s="5"/>
      <c r="E173" s="52"/>
      <c r="F173" s="4" t="s">
        <v>20</v>
      </c>
      <c r="G173" s="3" t="s">
        <v>21</v>
      </c>
      <c r="H173" s="5">
        <v>0</v>
      </c>
      <c r="I173" s="5" t="s">
        <v>20</v>
      </c>
      <c r="J173" s="5"/>
      <c r="K173" s="5"/>
      <c r="L173" s="5">
        <v>0</v>
      </c>
      <c r="M173" s="59">
        <v>46097</v>
      </c>
      <c r="N173" s="5"/>
      <c r="O173" s="5"/>
      <c r="P173" s="5"/>
      <c r="Q173" s="5" t="s">
        <v>181</v>
      </c>
    </row>
    <row r="174" spans="1:17" ht="15" customHeight="1">
      <c r="A174" s="12">
        <v>173</v>
      </c>
      <c r="B174" s="5" t="s">
        <v>185</v>
      </c>
      <c r="C174" s="5" t="s">
        <v>281</v>
      </c>
      <c r="D174" s="5"/>
      <c r="E174" s="52"/>
      <c r="F174" s="4" t="s">
        <v>20</v>
      </c>
      <c r="G174" s="3" t="s">
        <v>21</v>
      </c>
      <c r="H174" s="5">
        <v>0</v>
      </c>
      <c r="I174" s="5" t="s">
        <v>20</v>
      </c>
      <c r="J174" s="5"/>
      <c r="K174" s="5"/>
      <c r="L174" s="5">
        <v>0</v>
      </c>
      <c r="M174" s="59">
        <v>46097</v>
      </c>
      <c r="N174" s="5"/>
      <c r="O174" s="5"/>
      <c r="P174" s="5"/>
      <c r="Q174" s="5" t="s">
        <v>181</v>
      </c>
    </row>
    <row r="175" spans="1:17" ht="15" customHeight="1">
      <c r="A175" s="12">
        <v>174</v>
      </c>
      <c r="B175" s="5" t="s">
        <v>185</v>
      </c>
      <c r="C175" s="5" t="s">
        <v>282</v>
      </c>
      <c r="D175" s="5"/>
      <c r="E175" s="52"/>
      <c r="F175" s="4" t="s">
        <v>20</v>
      </c>
      <c r="G175" s="3" t="s">
        <v>21</v>
      </c>
      <c r="H175" s="5">
        <v>0</v>
      </c>
      <c r="I175" s="5" t="s">
        <v>20</v>
      </c>
      <c r="J175" s="5"/>
      <c r="K175" s="5"/>
      <c r="L175" s="5">
        <v>0</v>
      </c>
      <c r="M175" s="59">
        <v>46097</v>
      </c>
      <c r="N175" s="5"/>
      <c r="O175" s="5"/>
      <c r="P175" s="5"/>
      <c r="Q175" s="5" t="s">
        <v>181</v>
      </c>
    </row>
    <row r="176" spans="1:17" ht="15" customHeight="1">
      <c r="A176" s="12">
        <v>175</v>
      </c>
      <c r="B176" s="5" t="s">
        <v>185</v>
      </c>
      <c r="C176" s="5" t="s">
        <v>283</v>
      </c>
      <c r="D176" s="5"/>
      <c r="E176" s="52"/>
      <c r="F176" s="4" t="s">
        <v>20</v>
      </c>
      <c r="G176" s="3" t="s">
        <v>21</v>
      </c>
      <c r="H176" s="5">
        <v>0</v>
      </c>
      <c r="I176" s="5" t="s">
        <v>20</v>
      </c>
      <c r="J176" s="5"/>
      <c r="K176" s="5"/>
      <c r="L176" s="5">
        <v>0</v>
      </c>
      <c r="M176" s="59">
        <v>46097</v>
      </c>
      <c r="N176" s="5"/>
      <c r="O176" s="5"/>
      <c r="P176" s="5"/>
      <c r="Q176" s="5" t="s">
        <v>181</v>
      </c>
    </row>
    <row r="177" spans="1:17" ht="15" customHeight="1">
      <c r="A177" s="12">
        <v>176</v>
      </c>
      <c r="B177" s="5" t="s">
        <v>185</v>
      </c>
      <c r="C177" s="5" t="s">
        <v>284</v>
      </c>
      <c r="D177" s="5"/>
      <c r="E177" s="52"/>
      <c r="F177" s="4" t="s">
        <v>20</v>
      </c>
      <c r="G177" s="3" t="s">
        <v>21</v>
      </c>
      <c r="H177" s="5">
        <v>0</v>
      </c>
      <c r="I177" s="5" t="s">
        <v>20</v>
      </c>
      <c r="J177" s="5"/>
      <c r="K177" s="5"/>
      <c r="L177" s="5">
        <v>0</v>
      </c>
      <c r="M177" s="59">
        <v>46097</v>
      </c>
      <c r="N177" s="5"/>
      <c r="O177" s="5"/>
      <c r="P177" s="5"/>
      <c r="Q177" s="5" t="s">
        <v>181</v>
      </c>
    </row>
    <row r="178" spans="1:17" ht="15" customHeight="1">
      <c r="A178" s="12">
        <v>177</v>
      </c>
      <c r="B178" s="5" t="s">
        <v>185</v>
      </c>
      <c r="C178" s="5" t="s">
        <v>285</v>
      </c>
      <c r="D178" s="5"/>
      <c r="E178" s="52"/>
      <c r="F178" s="4" t="s">
        <v>20</v>
      </c>
      <c r="G178" s="3" t="s">
        <v>21</v>
      </c>
      <c r="H178" s="5">
        <v>0</v>
      </c>
      <c r="I178" s="5" t="s">
        <v>20</v>
      </c>
      <c r="J178" s="5"/>
      <c r="K178" s="5"/>
      <c r="L178" s="5">
        <v>0</v>
      </c>
      <c r="M178" s="59">
        <v>46097</v>
      </c>
      <c r="N178" s="5"/>
      <c r="O178" s="5"/>
      <c r="P178" s="5"/>
      <c r="Q178" s="5" t="s">
        <v>181</v>
      </c>
    </row>
    <row r="179" spans="1:17" ht="15" customHeight="1">
      <c r="A179" s="12">
        <v>178</v>
      </c>
      <c r="B179" s="5" t="s">
        <v>185</v>
      </c>
      <c r="C179" s="5" t="s">
        <v>286</v>
      </c>
      <c r="D179" s="5"/>
      <c r="E179" s="52"/>
      <c r="F179" s="4" t="s">
        <v>20</v>
      </c>
      <c r="G179" s="3" t="s">
        <v>21</v>
      </c>
      <c r="H179" s="5">
        <v>0</v>
      </c>
      <c r="I179" s="5" t="s">
        <v>20</v>
      </c>
      <c r="J179" s="5"/>
      <c r="K179" s="5"/>
      <c r="L179" s="5">
        <v>0</v>
      </c>
      <c r="M179" s="59">
        <v>46097</v>
      </c>
      <c r="N179" s="5"/>
      <c r="O179" s="5"/>
      <c r="P179" s="5"/>
      <c r="Q179" s="5" t="s">
        <v>181</v>
      </c>
    </row>
    <row r="180" spans="1:17" ht="15" customHeight="1">
      <c r="A180" s="12">
        <v>179</v>
      </c>
      <c r="B180" s="5" t="s">
        <v>185</v>
      </c>
      <c r="C180" s="5" t="s">
        <v>287</v>
      </c>
      <c r="D180" s="5"/>
      <c r="E180" s="52"/>
      <c r="F180" s="4" t="s">
        <v>20</v>
      </c>
      <c r="G180" s="3" t="s">
        <v>21</v>
      </c>
      <c r="H180" s="5">
        <v>0</v>
      </c>
      <c r="I180" s="5" t="s">
        <v>20</v>
      </c>
      <c r="J180" s="5"/>
      <c r="K180" s="5"/>
      <c r="L180" s="5">
        <v>0</v>
      </c>
      <c r="M180" s="59">
        <v>46097</v>
      </c>
      <c r="N180" s="5"/>
      <c r="O180" s="5"/>
      <c r="P180" s="5"/>
      <c r="Q180" s="5" t="s">
        <v>181</v>
      </c>
    </row>
    <row r="181" spans="1:17" ht="15" customHeight="1">
      <c r="A181" s="12">
        <v>180</v>
      </c>
      <c r="B181" s="5" t="s">
        <v>185</v>
      </c>
      <c r="C181" s="5" t="s">
        <v>288</v>
      </c>
      <c r="D181" s="5"/>
      <c r="E181" s="52"/>
      <c r="F181" s="4" t="s">
        <v>20</v>
      </c>
      <c r="G181" s="3" t="s">
        <v>21</v>
      </c>
      <c r="H181" s="5">
        <v>0</v>
      </c>
      <c r="I181" s="5" t="s">
        <v>20</v>
      </c>
      <c r="J181" s="5"/>
      <c r="K181" s="5"/>
      <c r="L181" s="5">
        <v>0</v>
      </c>
      <c r="M181" s="59">
        <v>46097</v>
      </c>
      <c r="N181" s="5"/>
      <c r="O181" s="5"/>
      <c r="P181" s="5"/>
      <c r="Q181" s="5" t="s">
        <v>181</v>
      </c>
    </row>
    <row r="182" spans="1:17" ht="15" customHeight="1">
      <c r="A182" s="12">
        <v>181</v>
      </c>
      <c r="B182" s="5" t="s">
        <v>185</v>
      </c>
      <c r="C182" s="5" t="s">
        <v>289</v>
      </c>
      <c r="D182" s="5"/>
      <c r="E182" s="52"/>
      <c r="F182" s="4" t="s">
        <v>20</v>
      </c>
      <c r="G182" s="3" t="s">
        <v>21</v>
      </c>
      <c r="H182" s="5">
        <v>0</v>
      </c>
      <c r="I182" s="5" t="s">
        <v>20</v>
      </c>
      <c r="J182" s="5"/>
      <c r="K182" s="5"/>
      <c r="L182" s="5">
        <v>0</v>
      </c>
      <c r="M182" s="59">
        <v>46097</v>
      </c>
      <c r="N182" s="5"/>
      <c r="O182" s="5"/>
      <c r="P182" s="5"/>
      <c r="Q182" s="5" t="s">
        <v>181</v>
      </c>
    </row>
    <row r="183" spans="1:17" ht="15" customHeight="1">
      <c r="A183" s="12">
        <v>182</v>
      </c>
      <c r="B183" s="5" t="s">
        <v>185</v>
      </c>
      <c r="C183" s="5" t="s">
        <v>290</v>
      </c>
      <c r="D183" s="5"/>
      <c r="E183" s="52"/>
      <c r="F183" s="4" t="s">
        <v>20</v>
      </c>
      <c r="G183" s="3" t="s">
        <v>21</v>
      </c>
      <c r="H183" s="5">
        <v>0</v>
      </c>
      <c r="I183" s="5" t="s">
        <v>20</v>
      </c>
      <c r="J183" s="5"/>
      <c r="K183" s="5"/>
      <c r="L183" s="5">
        <v>0</v>
      </c>
      <c r="M183" s="59">
        <v>46097</v>
      </c>
      <c r="N183" s="5"/>
      <c r="O183" s="5"/>
      <c r="P183" s="5"/>
      <c r="Q183" s="5" t="s">
        <v>181</v>
      </c>
    </row>
    <row r="184" spans="1:17" ht="15" customHeight="1">
      <c r="A184" s="12">
        <v>183</v>
      </c>
      <c r="B184" s="5" t="s">
        <v>185</v>
      </c>
      <c r="C184" s="5" t="s">
        <v>291</v>
      </c>
      <c r="D184" s="5"/>
      <c r="E184" s="52"/>
      <c r="F184" s="4" t="s">
        <v>20</v>
      </c>
      <c r="G184" s="3" t="s">
        <v>21</v>
      </c>
      <c r="H184" s="5">
        <v>0</v>
      </c>
      <c r="I184" s="5" t="s">
        <v>20</v>
      </c>
      <c r="J184" s="5"/>
      <c r="K184" s="5"/>
      <c r="L184" s="5">
        <v>0</v>
      </c>
      <c r="M184" s="59">
        <v>46097</v>
      </c>
      <c r="N184" s="5"/>
      <c r="O184" s="5"/>
      <c r="P184" s="5"/>
      <c r="Q184" s="5" t="s">
        <v>181</v>
      </c>
    </row>
    <row r="185" spans="1:17" ht="15" customHeight="1">
      <c r="A185" s="12">
        <v>184</v>
      </c>
      <c r="B185" s="5" t="s">
        <v>185</v>
      </c>
      <c r="C185" s="5" t="s">
        <v>292</v>
      </c>
      <c r="D185" s="5"/>
      <c r="E185" s="52"/>
      <c r="F185" s="4" t="s">
        <v>20</v>
      </c>
      <c r="G185" s="3" t="s">
        <v>21</v>
      </c>
      <c r="H185" s="5">
        <v>0</v>
      </c>
      <c r="I185" s="5" t="s">
        <v>20</v>
      </c>
      <c r="J185" s="5"/>
      <c r="K185" s="5"/>
      <c r="L185" s="5">
        <v>0</v>
      </c>
      <c r="M185" s="59">
        <v>46097</v>
      </c>
      <c r="N185" s="5"/>
      <c r="O185" s="5"/>
      <c r="P185" s="5"/>
      <c r="Q185" s="5" t="s">
        <v>181</v>
      </c>
    </row>
    <row r="186" spans="1:17" ht="15" customHeight="1">
      <c r="A186" s="12">
        <v>185</v>
      </c>
      <c r="B186" s="5" t="s">
        <v>185</v>
      </c>
      <c r="C186" s="5" t="s">
        <v>293</v>
      </c>
      <c r="D186" s="5"/>
      <c r="E186" s="52"/>
      <c r="F186" s="4" t="s">
        <v>20</v>
      </c>
      <c r="G186" s="3" t="s">
        <v>21</v>
      </c>
      <c r="H186" s="5">
        <v>0</v>
      </c>
      <c r="I186" s="5" t="s">
        <v>20</v>
      </c>
      <c r="J186" s="5"/>
      <c r="K186" s="5"/>
      <c r="L186" s="5">
        <v>0</v>
      </c>
      <c r="M186" s="59">
        <v>46097</v>
      </c>
      <c r="N186" s="5"/>
      <c r="O186" s="5"/>
      <c r="P186" s="5"/>
      <c r="Q186" s="5" t="s">
        <v>181</v>
      </c>
    </row>
    <row r="187" spans="1:17" ht="15" customHeight="1">
      <c r="A187" s="12">
        <v>186</v>
      </c>
      <c r="B187" s="5" t="s">
        <v>185</v>
      </c>
      <c r="C187" s="5" t="s">
        <v>294</v>
      </c>
      <c r="D187" s="5"/>
      <c r="E187" s="52"/>
      <c r="F187" s="4" t="s">
        <v>20</v>
      </c>
      <c r="G187" s="3" t="s">
        <v>21</v>
      </c>
      <c r="H187" s="5">
        <v>0</v>
      </c>
      <c r="I187" s="5" t="s">
        <v>20</v>
      </c>
      <c r="J187" s="5"/>
      <c r="K187" s="5"/>
      <c r="L187" s="5">
        <v>0</v>
      </c>
      <c r="M187" s="59">
        <v>46097</v>
      </c>
      <c r="N187" s="5"/>
      <c r="O187" s="5"/>
      <c r="P187" s="5"/>
      <c r="Q187" s="5" t="s">
        <v>181</v>
      </c>
    </row>
    <row r="188" spans="1:17" ht="15" customHeight="1">
      <c r="A188" s="12">
        <v>187</v>
      </c>
      <c r="B188" s="5" t="s">
        <v>185</v>
      </c>
      <c r="C188" s="5" t="s">
        <v>295</v>
      </c>
      <c r="D188" s="5"/>
      <c r="E188" s="52"/>
      <c r="F188" s="4" t="s">
        <v>20</v>
      </c>
      <c r="G188" s="3" t="s">
        <v>21</v>
      </c>
      <c r="H188" s="5">
        <v>0</v>
      </c>
      <c r="I188" s="5" t="s">
        <v>20</v>
      </c>
      <c r="J188" s="5"/>
      <c r="K188" s="5"/>
      <c r="L188" s="5">
        <v>0</v>
      </c>
      <c r="M188" s="59">
        <v>46097</v>
      </c>
      <c r="N188" s="5"/>
      <c r="O188" s="5"/>
      <c r="P188" s="5"/>
      <c r="Q188" s="5" t="s">
        <v>181</v>
      </c>
    </row>
    <row r="189" spans="1:17" ht="15" customHeight="1">
      <c r="A189" s="12">
        <v>188</v>
      </c>
      <c r="B189" s="5" t="s">
        <v>185</v>
      </c>
      <c r="C189" s="5" t="s">
        <v>296</v>
      </c>
      <c r="D189" s="5"/>
      <c r="E189" s="52"/>
      <c r="F189" s="4" t="s">
        <v>20</v>
      </c>
      <c r="G189" s="3" t="s">
        <v>21</v>
      </c>
      <c r="H189" s="5">
        <v>0</v>
      </c>
      <c r="I189" s="5" t="s">
        <v>20</v>
      </c>
      <c r="J189" s="5"/>
      <c r="K189" s="5"/>
      <c r="L189" s="5">
        <v>0</v>
      </c>
      <c r="M189" s="59">
        <v>46097</v>
      </c>
      <c r="N189" s="5"/>
      <c r="O189" s="5"/>
      <c r="P189" s="5"/>
      <c r="Q189" s="5" t="s">
        <v>181</v>
      </c>
    </row>
    <row r="190" spans="1:17" ht="15" customHeight="1">
      <c r="A190" s="12">
        <v>189</v>
      </c>
      <c r="B190" s="5" t="s">
        <v>185</v>
      </c>
      <c r="C190" s="5" t="s">
        <v>297</v>
      </c>
      <c r="D190" s="5"/>
      <c r="E190" s="52"/>
      <c r="F190" s="4" t="s">
        <v>20</v>
      </c>
      <c r="G190" s="3" t="s">
        <v>21</v>
      </c>
      <c r="H190" s="5">
        <v>0</v>
      </c>
      <c r="I190" s="5" t="s">
        <v>20</v>
      </c>
      <c r="J190" s="5"/>
      <c r="K190" s="5"/>
      <c r="L190" s="5">
        <v>0</v>
      </c>
      <c r="M190" s="59">
        <v>46097</v>
      </c>
      <c r="N190" s="5"/>
      <c r="O190" s="5"/>
      <c r="P190" s="5"/>
      <c r="Q190" s="5" t="s">
        <v>181</v>
      </c>
    </row>
    <row r="191" spans="1:17" ht="15" customHeight="1">
      <c r="A191" s="12">
        <v>190</v>
      </c>
      <c r="B191" s="5" t="s">
        <v>185</v>
      </c>
      <c r="C191" s="5" t="s">
        <v>298</v>
      </c>
      <c r="D191" s="5"/>
      <c r="E191" s="52"/>
      <c r="F191" s="4" t="s">
        <v>20</v>
      </c>
      <c r="G191" s="3" t="s">
        <v>21</v>
      </c>
      <c r="H191" s="5">
        <v>0</v>
      </c>
      <c r="I191" s="5" t="s">
        <v>20</v>
      </c>
      <c r="J191" s="5"/>
      <c r="K191" s="5"/>
      <c r="L191" s="5">
        <v>0</v>
      </c>
      <c r="M191" s="59">
        <v>46097</v>
      </c>
      <c r="N191" s="5"/>
      <c r="O191" s="5"/>
      <c r="P191" s="5"/>
      <c r="Q191" s="5" t="s">
        <v>181</v>
      </c>
    </row>
    <row r="192" spans="1:17" ht="15" customHeight="1">
      <c r="A192" s="12">
        <v>191</v>
      </c>
      <c r="B192" s="5" t="s">
        <v>185</v>
      </c>
      <c r="C192" s="5" t="s">
        <v>299</v>
      </c>
      <c r="D192" s="5"/>
      <c r="E192" s="52"/>
      <c r="F192" s="4" t="s">
        <v>20</v>
      </c>
      <c r="G192" s="3" t="s">
        <v>21</v>
      </c>
      <c r="H192" s="5">
        <v>0</v>
      </c>
      <c r="I192" s="5" t="s">
        <v>20</v>
      </c>
      <c r="J192" s="5"/>
      <c r="K192" s="5"/>
      <c r="L192" s="5">
        <v>0</v>
      </c>
      <c r="M192" s="59">
        <v>46097</v>
      </c>
      <c r="N192" s="5"/>
      <c r="O192" s="5"/>
      <c r="P192" s="5"/>
      <c r="Q192" s="5" t="s">
        <v>181</v>
      </c>
    </row>
    <row r="193" spans="1:17" ht="15" customHeight="1">
      <c r="A193" s="12">
        <v>192</v>
      </c>
      <c r="B193" s="5" t="s">
        <v>185</v>
      </c>
      <c r="C193" s="5" t="s">
        <v>300</v>
      </c>
      <c r="D193" s="5"/>
      <c r="E193" s="52"/>
      <c r="F193" s="4" t="s">
        <v>20</v>
      </c>
      <c r="G193" s="3" t="s">
        <v>21</v>
      </c>
      <c r="H193" s="5">
        <v>0</v>
      </c>
      <c r="I193" s="5" t="s">
        <v>20</v>
      </c>
      <c r="J193" s="5"/>
      <c r="K193" s="5"/>
      <c r="L193" s="5">
        <v>0</v>
      </c>
      <c r="M193" s="59">
        <v>46097</v>
      </c>
      <c r="N193" s="5"/>
      <c r="O193" s="5"/>
      <c r="P193" s="5"/>
      <c r="Q193" s="5" t="s">
        <v>181</v>
      </c>
    </row>
    <row r="194" spans="1:17" ht="15" customHeight="1">
      <c r="A194" s="12">
        <v>193</v>
      </c>
      <c r="B194" s="5" t="s">
        <v>185</v>
      </c>
      <c r="C194" s="5" t="s">
        <v>301</v>
      </c>
      <c r="D194" s="5"/>
      <c r="E194" s="52"/>
      <c r="F194" s="4" t="s">
        <v>20</v>
      </c>
      <c r="G194" s="3" t="s">
        <v>21</v>
      </c>
      <c r="H194" s="5">
        <v>0</v>
      </c>
      <c r="I194" s="5" t="s">
        <v>20</v>
      </c>
      <c r="J194" s="5"/>
      <c r="K194" s="5"/>
      <c r="L194" s="5">
        <v>0</v>
      </c>
      <c r="M194" s="59">
        <v>46097</v>
      </c>
      <c r="N194" s="5"/>
      <c r="O194" s="5"/>
      <c r="P194" s="5"/>
      <c r="Q194" s="5" t="s">
        <v>181</v>
      </c>
    </row>
    <row r="195" spans="1:17" ht="15" customHeight="1">
      <c r="A195" s="12">
        <v>194</v>
      </c>
      <c r="B195" s="5" t="s">
        <v>185</v>
      </c>
      <c r="C195" s="5" t="s">
        <v>302</v>
      </c>
      <c r="D195" s="5"/>
      <c r="E195" s="52"/>
      <c r="F195" s="4" t="s">
        <v>20</v>
      </c>
      <c r="G195" s="3" t="s">
        <v>21</v>
      </c>
      <c r="H195" s="5">
        <v>0</v>
      </c>
      <c r="I195" s="5" t="s">
        <v>20</v>
      </c>
      <c r="J195" s="5"/>
      <c r="K195" s="5"/>
      <c r="L195" s="5">
        <v>0</v>
      </c>
      <c r="M195" s="59">
        <v>46097</v>
      </c>
      <c r="N195" s="5"/>
      <c r="O195" s="5"/>
      <c r="P195" s="5"/>
      <c r="Q195" s="5" t="s">
        <v>181</v>
      </c>
    </row>
    <row r="196" spans="1:17" ht="15" customHeight="1">
      <c r="A196" s="12">
        <v>195</v>
      </c>
      <c r="B196" s="5" t="s">
        <v>185</v>
      </c>
      <c r="C196" s="5" t="s">
        <v>303</v>
      </c>
      <c r="D196" s="5"/>
      <c r="E196" s="52"/>
      <c r="F196" s="4" t="s">
        <v>20</v>
      </c>
      <c r="G196" s="3" t="s">
        <v>21</v>
      </c>
      <c r="H196" s="5">
        <v>0</v>
      </c>
      <c r="I196" s="5" t="s">
        <v>20</v>
      </c>
      <c r="J196" s="5"/>
      <c r="K196" s="5"/>
      <c r="L196" s="5">
        <v>0</v>
      </c>
      <c r="M196" s="59">
        <v>46097</v>
      </c>
      <c r="N196" s="5"/>
      <c r="O196" s="5"/>
      <c r="P196" s="5"/>
      <c r="Q196" s="5" t="s">
        <v>181</v>
      </c>
    </row>
    <row r="197" spans="1:17" ht="15" customHeight="1">
      <c r="A197" s="12">
        <v>196</v>
      </c>
      <c r="B197" s="5" t="s">
        <v>53</v>
      </c>
      <c r="C197" s="5" t="s">
        <v>304</v>
      </c>
      <c r="D197" s="5"/>
      <c r="E197" s="52">
        <v>591</v>
      </c>
      <c r="F197" s="4" t="s">
        <v>25</v>
      </c>
      <c r="G197" s="4" t="s">
        <v>25</v>
      </c>
      <c r="H197" s="5">
        <v>2</v>
      </c>
      <c r="I197" s="5" t="s">
        <v>20</v>
      </c>
      <c r="J197" s="5"/>
      <c r="K197" s="5"/>
      <c r="L197" s="5">
        <v>15</v>
      </c>
      <c r="M197" s="59">
        <v>46092</v>
      </c>
      <c r="N197" s="5"/>
      <c r="O197" s="5"/>
      <c r="P197" s="5"/>
      <c r="Q197" s="5" t="s">
        <v>181</v>
      </c>
    </row>
    <row r="198" spans="1:17" ht="15" customHeight="1">
      <c r="A198" s="12">
        <v>197</v>
      </c>
      <c r="B198" s="5" t="s">
        <v>53</v>
      </c>
      <c r="C198" s="5" t="s">
        <v>305</v>
      </c>
      <c r="D198" s="5"/>
      <c r="E198" s="52"/>
      <c r="F198" s="4" t="s">
        <v>20</v>
      </c>
      <c r="G198" s="3" t="s">
        <v>21</v>
      </c>
      <c r="H198" s="5">
        <v>0</v>
      </c>
      <c r="I198" s="5" t="s">
        <v>20</v>
      </c>
      <c r="J198" s="5"/>
      <c r="K198" s="5"/>
      <c r="L198" s="5">
        <v>0</v>
      </c>
      <c r="M198" s="59">
        <v>46097</v>
      </c>
      <c r="N198" s="5"/>
      <c r="O198" s="5"/>
      <c r="P198" s="5"/>
      <c r="Q198" s="5" t="s">
        <v>181</v>
      </c>
    </row>
    <row r="199" spans="1:17" ht="15" customHeight="1">
      <c r="A199" s="12">
        <v>198</v>
      </c>
      <c r="B199" s="5" t="s">
        <v>53</v>
      </c>
      <c r="C199" s="5" t="s">
        <v>306</v>
      </c>
      <c r="D199" s="5"/>
      <c r="E199" s="52"/>
      <c r="F199" s="4" t="s">
        <v>20</v>
      </c>
      <c r="G199" s="3" t="s">
        <v>21</v>
      </c>
      <c r="H199" s="5">
        <v>0</v>
      </c>
      <c r="I199" s="5" t="s">
        <v>20</v>
      </c>
      <c r="J199" s="5"/>
      <c r="K199" s="5"/>
      <c r="L199" s="5">
        <v>0</v>
      </c>
      <c r="M199" s="59">
        <v>46097</v>
      </c>
      <c r="N199" s="5"/>
      <c r="O199" s="5"/>
      <c r="P199" s="5"/>
      <c r="Q199" s="5" t="s">
        <v>181</v>
      </c>
    </row>
    <row r="200" spans="1:17" ht="15" customHeight="1">
      <c r="A200" s="12">
        <v>199</v>
      </c>
      <c r="B200" s="5" t="s">
        <v>53</v>
      </c>
      <c r="C200" s="5" t="s">
        <v>307</v>
      </c>
      <c r="D200" s="5"/>
      <c r="E200" s="52"/>
      <c r="F200" s="4" t="s">
        <v>20</v>
      </c>
      <c r="G200" s="3" t="s">
        <v>21</v>
      </c>
      <c r="H200" s="5">
        <v>0</v>
      </c>
      <c r="I200" s="5" t="s">
        <v>20</v>
      </c>
      <c r="J200" s="5"/>
      <c r="K200" s="5"/>
      <c r="L200" s="5">
        <v>0</v>
      </c>
      <c r="M200" s="59">
        <v>46097</v>
      </c>
      <c r="N200" s="5"/>
      <c r="O200" s="5"/>
      <c r="P200" s="5"/>
      <c r="Q200" s="5" t="s">
        <v>181</v>
      </c>
    </row>
    <row r="201" spans="1:17" ht="15" customHeight="1">
      <c r="A201" s="12">
        <v>200</v>
      </c>
      <c r="B201" s="5" t="s">
        <v>53</v>
      </c>
      <c r="C201" s="5" t="s">
        <v>308</v>
      </c>
      <c r="D201" s="5"/>
      <c r="E201" s="52"/>
      <c r="F201" s="4" t="s">
        <v>20</v>
      </c>
      <c r="G201" s="3" t="s">
        <v>21</v>
      </c>
      <c r="H201" s="5">
        <v>0</v>
      </c>
      <c r="I201" s="5" t="s">
        <v>20</v>
      </c>
      <c r="J201" s="5"/>
      <c r="K201" s="5"/>
      <c r="L201" s="5">
        <v>0</v>
      </c>
      <c r="M201" s="59">
        <v>46097</v>
      </c>
      <c r="N201" s="5"/>
      <c r="O201" s="5"/>
      <c r="P201" s="5"/>
      <c r="Q201" s="5" t="s">
        <v>181</v>
      </c>
    </row>
    <row r="202" spans="1:17" ht="15" customHeight="1">
      <c r="A202" s="12">
        <v>201</v>
      </c>
      <c r="B202" s="5" t="s">
        <v>53</v>
      </c>
      <c r="C202" s="5" t="s">
        <v>309</v>
      </c>
      <c r="D202" s="5"/>
      <c r="E202" s="52"/>
      <c r="F202" s="4" t="s">
        <v>20</v>
      </c>
      <c r="G202" s="3" t="s">
        <v>21</v>
      </c>
      <c r="H202" s="5">
        <v>0</v>
      </c>
      <c r="I202" s="5" t="s">
        <v>20</v>
      </c>
      <c r="J202" s="5"/>
      <c r="K202" s="5"/>
      <c r="L202" s="5">
        <v>0</v>
      </c>
      <c r="M202" s="59">
        <v>46097</v>
      </c>
      <c r="N202" s="5"/>
      <c r="O202" s="5"/>
      <c r="P202" s="5"/>
      <c r="Q202" s="5" t="s">
        <v>181</v>
      </c>
    </row>
    <row r="203" spans="1:17" ht="15" customHeight="1">
      <c r="A203" s="12">
        <v>202</v>
      </c>
      <c r="B203" s="5" t="s">
        <v>53</v>
      </c>
      <c r="C203" s="5" t="s">
        <v>310</v>
      </c>
      <c r="D203" s="5"/>
      <c r="E203" s="52"/>
      <c r="F203" s="4" t="s">
        <v>20</v>
      </c>
      <c r="G203" s="3" t="s">
        <v>21</v>
      </c>
      <c r="H203" s="5">
        <v>0</v>
      </c>
      <c r="I203" s="5" t="s">
        <v>20</v>
      </c>
      <c r="J203" s="5"/>
      <c r="K203" s="5"/>
      <c r="L203" s="5">
        <v>0</v>
      </c>
      <c r="M203" s="59">
        <v>46097</v>
      </c>
      <c r="N203" s="5"/>
      <c r="O203" s="5"/>
      <c r="P203" s="5"/>
      <c r="Q203" s="5" t="s">
        <v>181</v>
      </c>
    </row>
    <row r="204" spans="1:17" ht="15" customHeight="1">
      <c r="A204" s="12">
        <v>203</v>
      </c>
      <c r="B204" s="5" t="s">
        <v>53</v>
      </c>
      <c r="C204" s="5" t="s">
        <v>311</v>
      </c>
      <c r="D204" s="5"/>
      <c r="E204" s="52"/>
      <c r="F204" s="4" t="s">
        <v>20</v>
      </c>
      <c r="G204" s="3" t="s">
        <v>21</v>
      </c>
      <c r="H204" s="5">
        <v>0</v>
      </c>
      <c r="I204" s="5" t="s">
        <v>20</v>
      </c>
      <c r="J204" s="5"/>
      <c r="K204" s="5"/>
      <c r="L204" s="5">
        <v>0</v>
      </c>
      <c r="M204" s="59">
        <v>46097</v>
      </c>
      <c r="N204" s="5"/>
      <c r="O204" s="5"/>
      <c r="P204" s="5"/>
      <c r="Q204" s="5" t="s">
        <v>181</v>
      </c>
    </row>
    <row r="205" spans="1:17" ht="15" customHeight="1">
      <c r="A205" s="12">
        <v>204</v>
      </c>
      <c r="B205" s="5" t="s">
        <v>53</v>
      </c>
      <c r="C205" s="5" t="s">
        <v>312</v>
      </c>
      <c r="D205" s="5"/>
      <c r="E205" s="52"/>
      <c r="F205" s="4" t="s">
        <v>20</v>
      </c>
      <c r="G205" s="3" t="s">
        <v>21</v>
      </c>
      <c r="H205" s="5">
        <v>0</v>
      </c>
      <c r="I205" s="5" t="s">
        <v>20</v>
      </c>
      <c r="J205" s="5"/>
      <c r="K205" s="5"/>
      <c r="L205" s="5">
        <v>0</v>
      </c>
      <c r="M205" s="59">
        <v>46097</v>
      </c>
      <c r="N205" s="5"/>
      <c r="O205" s="5"/>
      <c r="P205" s="5"/>
      <c r="Q205" s="5" t="s">
        <v>181</v>
      </c>
    </row>
    <row r="206" spans="1:17" ht="15" customHeight="1">
      <c r="A206" s="12">
        <v>205</v>
      </c>
      <c r="B206" s="5" t="s">
        <v>53</v>
      </c>
      <c r="C206" s="5" t="s">
        <v>313</v>
      </c>
      <c r="D206" s="5"/>
      <c r="E206" s="52"/>
      <c r="F206" s="4" t="s">
        <v>20</v>
      </c>
      <c r="G206" s="3" t="s">
        <v>21</v>
      </c>
      <c r="H206" s="5">
        <v>0</v>
      </c>
      <c r="I206" s="5" t="s">
        <v>20</v>
      </c>
      <c r="J206" s="5"/>
      <c r="K206" s="5"/>
      <c r="L206" s="5">
        <v>0</v>
      </c>
      <c r="M206" s="59">
        <v>46097</v>
      </c>
      <c r="N206" s="5"/>
      <c r="O206" s="5"/>
      <c r="P206" s="5"/>
      <c r="Q206" s="5" t="s">
        <v>181</v>
      </c>
    </row>
    <row r="207" spans="1:17" ht="15" customHeight="1">
      <c r="A207" s="12">
        <v>206</v>
      </c>
      <c r="B207" s="5" t="s">
        <v>53</v>
      </c>
      <c r="C207" s="5" t="s">
        <v>314</v>
      </c>
      <c r="D207" s="5"/>
      <c r="E207" s="52"/>
      <c r="F207" s="4" t="s">
        <v>20</v>
      </c>
      <c r="G207" s="3" t="s">
        <v>21</v>
      </c>
      <c r="H207" s="5">
        <v>0</v>
      </c>
      <c r="I207" s="5" t="s">
        <v>20</v>
      </c>
      <c r="J207" s="5"/>
      <c r="K207" s="5"/>
      <c r="L207" s="5">
        <v>0</v>
      </c>
      <c r="M207" s="59">
        <v>46097</v>
      </c>
      <c r="N207" s="5"/>
      <c r="O207" s="5"/>
      <c r="P207" s="5"/>
      <c r="Q207" s="5" t="s">
        <v>181</v>
      </c>
    </row>
    <row r="208" spans="1:17" ht="15" customHeight="1">
      <c r="A208" s="12">
        <v>207</v>
      </c>
      <c r="B208" s="5" t="s">
        <v>53</v>
      </c>
      <c r="C208" s="5" t="s">
        <v>315</v>
      </c>
      <c r="D208" s="5"/>
      <c r="E208" s="52"/>
      <c r="F208" s="4" t="s">
        <v>20</v>
      </c>
      <c r="G208" s="3" t="s">
        <v>21</v>
      </c>
      <c r="H208" s="5">
        <v>0</v>
      </c>
      <c r="I208" s="5" t="s">
        <v>20</v>
      </c>
      <c r="J208" s="5"/>
      <c r="K208" s="5"/>
      <c r="L208" s="5">
        <v>0</v>
      </c>
      <c r="M208" s="59">
        <v>46097</v>
      </c>
      <c r="N208" s="5"/>
      <c r="O208" s="5"/>
      <c r="P208" s="5"/>
      <c r="Q208" s="5" t="s">
        <v>181</v>
      </c>
    </row>
    <row r="209" spans="1:17" ht="15" customHeight="1">
      <c r="A209" s="12">
        <v>208</v>
      </c>
      <c r="B209" s="5" t="s">
        <v>53</v>
      </c>
      <c r="C209" s="5" t="s">
        <v>316</v>
      </c>
      <c r="D209" s="5"/>
      <c r="E209" s="52"/>
      <c r="F209" s="4" t="s">
        <v>20</v>
      </c>
      <c r="G209" s="3" t="s">
        <v>21</v>
      </c>
      <c r="H209" s="5">
        <v>0</v>
      </c>
      <c r="I209" s="5" t="s">
        <v>20</v>
      </c>
      <c r="J209" s="5"/>
      <c r="K209" s="5"/>
      <c r="L209" s="5">
        <v>0</v>
      </c>
      <c r="M209" s="59">
        <v>46097</v>
      </c>
      <c r="N209" s="5"/>
      <c r="O209" s="5"/>
      <c r="P209" s="5"/>
      <c r="Q209" s="5" t="s">
        <v>181</v>
      </c>
    </row>
    <row r="210" spans="1:17" ht="15" customHeight="1">
      <c r="A210" s="12">
        <v>209</v>
      </c>
      <c r="B210" s="5" t="s">
        <v>74</v>
      </c>
      <c r="C210" s="5" t="s">
        <v>317</v>
      </c>
      <c r="D210" s="5"/>
      <c r="E210" s="52"/>
      <c r="F210" s="4" t="s">
        <v>20</v>
      </c>
      <c r="G210" s="3" t="s">
        <v>21</v>
      </c>
      <c r="H210" s="5">
        <v>0</v>
      </c>
      <c r="I210" s="5" t="s">
        <v>20</v>
      </c>
      <c r="J210" s="5"/>
      <c r="K210" s="5"/>
      <c r="L210" s="5">
        <v>0</v>
      </c>
      <c r="M210" s="59">
        <v>46097</v>
      </c>
      <c r="N210" s="5"/>
      <c r="O210" s="5"/>
      <c r="P210" s="5"/>
      <c r="Q210" s="5" t="s">
        <v>181</v>
      </c>
    </row>
    <row r="211" spans="1:17" ht="15" customHeight="1">
      <c r="A211" s="12">
        <v>210</v>
      </c>
      <c r="B211" s="5" t="s">
        <v>74</v>
      </c>
      <c r="C211" s="5" t="s">
        <v>318</v>
      </c>
      <c r="D211" s="5"/>
      <c r="E211" s="52"/>
      <c r="F211" s="4" t="s">
        <v>20</v>
      </c>
      <c r="G211" s="3" t="s">
        <v>21</v>
      </c>
      <c r="H211" s="5">
        <v>0</v>
      </c>
      <c r="I211" s="5" t="s">
        <v>20</v>
      </c>
      <c r="J211" s="5"/>
      <c r="K211" s="5"/>
      <c r="L211" s="5">
        <v>0</v>
      </c>
      <c r="M211" s="59">
        <v>46097</v>
      </c>
      <c r="N211" s="5"/>
      <c r="O211" s="5"/>
      <c r="P211" s="5"/>
      <c r="Q211" s="5" t="s">
        <v>181</v>
      </c>
    </row>
    <row r="212" spans="1:17" ht="15" customHeight="1">
      <c r="A212" s="12">
        <v>211</v>
      </c>
      <c r="B212" s="5" t="s">
        <v>74</v>
      </c>
      <c r="C212" s="5" t="s">
        <v>319</v>
      </c>
      <c r="D212" s="5"/>
      <c r="E212" s="52"/>
      <c r="F212" s="4" t="s">
        <v>20</v>
      </c>
      <c r="G212" s="3" t="s">
        <v>21</v>
      </c>
      <c r="H212" s="5">
        <v>0</v>
      </c>
      <c r="I212" s="5" t="s">
        <v>20</v>
      </c>
      <c r="J212" s="5"/>
      <c r="K212" s="5"/>
      <c r="L212" s="5">
        <v>0</v>
      </c>
      <c r="M212" s="59">
        <v>46097</v>
      </c>
      <c r="N212" s="5"/>
      <c r="O212" s="5"/>
      <c r="P212" s="5"/>
      <c r="Q212" s="5" t="s">
        <v>181</v>
      </c>
    </row>
    <row r="213" spans="1:17" ht="15" customHeight="1">
      <c r="A213" s="12">
        <v>212</v>
      </c>
      <c r="B213" s="5" t="s">
        <v>74</v>
      </c>
      <c r="C213" s="5" t="s">
        <v>320</v>
      </c>
      <c r="D213" s="5"/>
      <c r="E213" s="52"/>
      <c r="F213" s="4" t="s">
        <v>20</v>
      </c>
      <c r="G213" s="3" t="s">
        <v>21</v>
      </c>
      <c r="H213" s="5">
        <v>0</v>
      </c>
      <c r="I213" s="5" t="s">
        <v>20</v>
      </c>
      <c r="J213" s="5"/>
      <c r="K213" s="5"/>
      <c r="L213" s="5">
        <v>0</v>
      </c>
      <c r="M213" s="59">
        <v>46097</v>
      </c>
      <c r="N213" s="5"/>
      <c r="O213" s="5"/>
      <c r="P213" s="5"/>
      <c r="Q213" s="5" t="s">
        <v>181</v>
      </c>
    </row>
    <row r="214" spans="1:17" ht="15" customHeight="1">
      <c r="A214" s="12">
        <v>213</v>
      </c>
      <c r="B214" s="5" t="s">
        <v>74</v>
      </c>
      <c r="C214" s="5" t="s">
        <v>321</v>
      </c>
      <c r="D214" s="5"/>
      <c r="E214" s="52"/>
      <c r="F214" s="4" t="s">
        <v>20</v>
      </c>
      <c r="G214" s="3" t="s">
        <v>21</v>
      </c>
      <c r="H214" s="5">
        <v>0</v>
      </c>
      <c r="I214" s="5" t="s">
        <v>20</v>
      </c>
      <c r="J214" s="5"/>
      <c r="K214" s="5"/>
      <c r="L214" s="5">
        <v>0</v>
      </c>
      <c r="M214" s="59">
        <v>46097</v>
      </c>
      <c r="N214" s="5"/>
      <c r="O214" s="5"/>
      <c r="P214" s="5"/>
      <c r="Q214" s="5" t="s">
        <v>181</v>
      </c>
    </row>
    <row r="215" spans="1:17" ht="15" customHeight="1">
      <c r="A215" s="12">
        <v>214</v>
      </c>
      <c r="B215" s="5" t="s">
        <v>74</v>
      </c>
      <c r="C215" s="5" t="s">
        <v>322</v>
      </c>
      <c r="D215" s="5"/>
      <c r="E215" s="52"/>
      <c r="F215" s="4" t="s">
        <v>20</v>
      </c>
      <c r="G215" s="3" t="s">
        <v>21</v>
      </c>
      <c r="H215" s="5">
        <v>0</v>
      </c>
      <c r="I215" s="5" t="s">
        <v>20</v>
      </c>
      <c r="J215" s="5"/>
      <c r="K215" s="5"/>
      <c r="L215" s="5">
        <v>0</v>
      </c>
      <c r="M215" s="59">
        <v>46097</v>
      </c>
      <c r="N215" s="5"/>
      <c r="O215" s="5"/>
      <c r="P215" s="5"/>
      <c r="Q215" s="5" t="s">
        <v>181</v>
      </c>
    </row>
    <row r="216" spans="1:17" ht="15" customHeight="1">
      <c r="A216" s="12">
        <v>215</v>
      </c>
      <c r="B216" s="5" t="s">
        <v>74</v>
      </c>
      <c r="C216" s="5" t="s">
        <v>323</v>
      </c>
      <c r="D216" s="5"/>
      <c r="E216" s="52"/>
      <c r="F216" s="4" t="s">
        <v>20</v>
      </c>
      <c r="G216" s="3" t="s">
        <v>21</v>
      </c>
      <c r="H216" s="5">
        <v>0</v>
      </c>
      <c r="I216" s="5" t="s">
        <v>20</v>
      </c>
      <c r="J216" s="5"/>
      <c r="K216" s="5"/>
      <c r="L216" s="5">
        <v>0</v>
      </c>
      <c r="M216" s="59">
        <v>46097</v>
      </c>
      <c r="N216" s="5"/>
      <c r="O216" s="5"/>
      <c r="P216" s="5"/>
      <c r="Q216" s="5" t="s">
        <v>181</v>
      </c>
    </row>
    <row r="217" spans="1:17" ht="15" customHeight="1">
      <c r="A217" s="12">
        <v>216</v>
      </c>
      <c r="B217" s="5" t="s">
        <v>74</v>
      </c>
      <c r="C217" s="5" t="s">
        <v>324</v>
      </c>
      <c r="D217" s="5"/>
      <c r="E217" s="52"/>
      <c r="F217" s="4" t="s">
        <v>20</v>
      </c>
      <c r="G217" s="3" t="s">
        <v>21</v>
      </c>
      <c r="H217" s="5">
        <v>0</v>
      </c>
      <c r="I217" s="5" t="s">
        <v>20</v>
      </c>
      <c r="J217" s="5"/>
      <c r="K217" s="5"/>
      <c r="L217" s="5">
        <v>0</v>
      </c>
      <c r="M217" s="59">
        <v>46097</v>
      </c>
      <c r="N217" s="5"/>
      <c r="O217" s="5"/>
      <c r="P217" s="5"/>
      <c r="Q217" s="5" t="s">
        <v>181</v>
      </c>
    </row>
    <row r="218" spans="1:17" ht="15" customHeight="1">
      <c r="A218" s="12">
        <v>217</v>
      </c>
      <c r="B218" s="5" t="s">
        <v>74</v>
      </c>
      <c r="C218" s="5" t="s">
        <v>325</v>
      </c>
      <c r="D218" s="5"/>
      <c r="E218" s="52"/>
      <c r="F218" s="4" t="s">
        <v>20</v>
      </c>
      <c r="G218" s="3" t="s">
        <v>21</v>
      </c>
      <c r="H218" s="5">
        <v>0</v>
      </c>
      <c r="I218" s="5" t="s">
        <v>20</v>
      </c>
      <c r="J218" s="5"/>
      <c r="K218" s="5"/>
      <c r="L218" s="5">
        <v>0</v>
      </c>
      <c r="M218" s="59">
        <v>46097</v>
      </c>
      <c r="N218" s="5"/>
      <c r="O218" s="5"/>
      <c r="P218" s="5"/>
      <c r="Q218" s="5" t="s">
        <v>181</v>
      </c>
    </row>
    <row r="219" spans="1:17" ht="15" customHeight="1">
      <c r="A219" s="12">
        <v>218</v>
      </c>
      <c r="B219" s="5" t="s">
        <v>74</v>
      </c>
      <c r="C219" s="5" t="s">
        <v>326</v>
      </c>
      <c r="D219" s="5"/>
      <c r="E219" s="52"/>
      <c r="F219" s="4" t="s">
        <v>20</v>
      </c>
      <c r="G219" s="3" t="s">
        <v>21</v>
      </c>
      <c r="H219" s="5">
        <v>0</v>
      </c>
      <c r="I219" s="5" t="s">
        <v>20</v>
      </c>
      <c r="J219" s="5"/>
      <c r="K219" s="5"/>
      <c r="L219" s="5">
        <v>0</v>
      </c>
      <c r="M219" s="59">
        <v>46097</v>
      </c>
      <c r="N219" s="5"/>
      <c r="O219" s="5"/>
      <c r="P219" s="5"/>
      <c r="Q219" s="5" t="s">
        <v>181</v>
      </c>
    </row>
    <row r="220" spans="1:17" ht="15" customHeight="1">
      <c r="A220" s="12">
        <v>219</v>
      </c>
      <c r="B220" s="5" t="s">
        <v>128</v>
      </c>
      <c r="C220" s="5" t="s">
        <v>327</v>
      </c>
      <c r="D220" s="5"/>
      <c r="E220" s="52"/>
      <c r="F220" s="4" t="s">
        <v>20</v>
      </c>
      <c r="G220" s="3" t="s">
        <v>21</v>
      </c>
      <c r="H220" s="5">
        <v>0</v>
      </c>
      <c r="I220" s="5" t="s">
        <v>20</v>
      </c>
      <c r="J220" s="5"/>
      <c r="K220" s="5"/>
      <c r="L220" s="5">
        <v>0</v>
      </c>
      <c r="M220" s="59">
        <v>46097</v>
      </c>
      <c r="N220" s="5"/>
      <c r="O220" s="5"/>
      <c r="P220" s="5"/>
      <c r="Q220" s="5" t="s">
        <v>181</v>
      </c>
    </row>
    <row r="221" spans="1:17" ht="15" customHeight="1">
      <c r="A221" s="12">
        <v>220</v>
      </c>
      <c r="B221" s="5" t="s">
        <v>128</v>
      </c>
      <c r="C221" s="5" t="s">
        <v>328</v>
      </c>
      <c r="D221" s="5"/>
      <c r="E221" s="52"/>
      <c r="F221" s="4" t="s">
        <v>20</v>
      </c>
      <c r="G221" s="3" t="s">
        <v>21</v>
      </c>
      <c r="H221" s="5">
        <v>0</v>
      </c>
      <c r="I221" s="5" t="s">
        <v>20</v>
      </c>
      <c r="J221" s="5"/>
      <c r="K221" s="5"/>
      <c r="L221" s="5">
        <v>0</v>
      </c>
      <c r="M221" s="59">
        <v>46097</v>
      </c>
      <c r="N221" s="5"/>
      <c r="O221" s="5"/>
      <c r="P221" s="5"/>
      <c r="Q221" s="5" t="s">
        <v>181</v>
      </c>
    </row>
    <row r="222" spans="1:17" ht="15" customHeight="1">
      <c r="A222" s="12">
        <v>221</v>
      </c>
      <c r="B222" s="5" t="s">
        <v>128</v>
      </c>
      <c r="C222" s="5" t="s">
        <v>329</v>
      </c>
      <c r="D222" s="5"/>
      <c r="E222" s="52"/>
      <c r="F222" s="4" t="s">
        <v>20</v>
      </c>
      <c r="G222" s="3" t="s">
        <v>21</v>
      </c>
      <c r="H222" s="5">
        <v>0</v>
      </c>
      <c r="I222" s="5" t="s">
        <v>20</v>
      </c>
      <c r="J222" s="5"/>
      <c r="K222" s="5"/>
      <c r="L222" s="5">
        <v>0</v>
      </c>
      <c r="M222" s="59">
        <v>46097</v>
      </c>
      <c r="N222" s="5"/>
      <c r="O222" s="5"/>
      <c r="P222" s="5"/>
      <c r="Q222" s="5" t="s">
        <v>181</v>
      </c>
    </row>
    <row r="223" spans="1:17" ht="15" customHeight="1">
      <c r="A223" s="12">
        <v>222</v>
      </c>
      <c r="B223" s="5" t="s">
        <v>128</v>
      </c>
      <c r="C223" s="5" t="s">
        <v>330</v>
      </c>
      <c r="D223" s="5"/>
      <c r="E223" s="52"/>
      <c r="F223" s="4" t="s">
        <v>20</v>
      </c>
      <c r="G223" s="3" t="s">
        <v>21</v>
      </c>
      <c r="H223" s="5">
        <v>0</v>
      </c>
      <c r="I223" s="5" t="s">
        <v>20</v>
      </c>
      <c r="J223" s="5"/>
      <c r="K223" s="5"/>
      <c r="L223" s="5">
        <v>0</v>
      </c>
      <c r="M223" s="59">
        <v>46097</v>
      </c>
      <c r="N223" s="5"/>
      <c r="O223" s="5"/>
      <c r="P223" s="5"/>
      <c r="Q223" s="5" t="s">
        <v>181</v>
      </c>
    </row>
    <row r="224" spans="1:17" ht="15" customHeight="1">
      <c r="A224" s="12">
        <v>223</v>
      </c>
      <c r="B224" s="5" t="s">
        <v>128</v>
      </c>
      <c r="C224" s="5" t="s">
        <v>331</v>
      </c>
      <c r="D224" s="5"/>
      <c r="E224" s="52"/>
      <c r="F224" s="4" t="s">
        <v>20</v>
      </c>
      <c r="G224" s="3" t="s">
        <v>21</v>
      </c>
      <c r="H224" s="5">
        <v>0</v>
      </c>
      <c r="I224" s="5" t="s">
        <v>20</v>
      </c>
      <c r="J224" s="5"/>
      <c r="K224" s="5"/>
      <c r="L224" s="5">
        <v>0</v>
      </c>
      <c r="M224" s="59">
        <v>46097</v>
      </c>
      <c r="N224" s="5"/>
      <c r="O224" s="5"/>
      <c r="P224" s="5"/>
      <c r="Q224" s="5" t="s">
        <v>181</v>
      </c>
    </row>
    <row r="225" spans="1:17" ht="15" customHeight="1">
      <c r="A225" s="12">
        <v>224</v>
      </c>
      <c r="B225" s="5" t="s">
        <v>128</v>
      </c>
      <c r="C225" s="5" t="s">
        <v>332</v>
      </c>
      <c r="D225" s="5"/>
      <c r="E225" s="52"/>
      <c r="F225" s="4" t="s">
        <v>20</v>
      </c>
      <c r="G225" s="3" t="s">
        <v>21</v>
      </c>
      <c r="H225" s="5">
        <v>0</v>
      </c>
      <c r="I225" s="5" t="s">
        <v>20</v>
      </c>
      <c r="J225" s="5"/>
      <c r="K225" s="5"/>
      <c r="L225" s="5">
        <v>0</v>
      </c>
      <c r="M225" s="59">
        <v>46097</v>
      </c>
      <c r="N225" s="5"/>
      <c r="O225" s="5"/>
      <c r="P225" s="5"/>
      <c r="Q225" s="5" t="s">
        <v>181</v>
      </c>
    </row>
    <row r="226" spans="1:17" ht="15" customHeight="1">
      <c r="A226" s="12">
        <v>225</v>
      </c>
      <c r="B226" s="5" t="s">
        <v>128</v>
      </c>
      <c r="C226" s="5" t="s">
        <v>333</v>
      </c>
      <c r="D226" s="5"/>
      <c r="E226" s="52"/>
      <c r="F226" s="4" t="s">
        <v>20</v>
      </c>
      <c r="G226" s="3" t="s">
        <v>21</v>
      </c>
      <c r="H226" s="5">
        <v>0</v>
      </c>
      <c r="I226" s="5" t="s">
        <v>20</v>
      </c>
      <c r="J226" s="5"/>
      <c r="K226" s="5"/>
      <c r="L226" s="5">
        <v>0</v>
      </c>
      <c r="M226" s="59">
        <v>46097</v>
      </c>
      <c r="N226" s="5"/>
      <c r="O226" s="5"/>
      <c r="P226" s="5"/>
      <c r="Q226" s="5" t="s">
        <v>181</v>
      </c>
    </row>
    <row r="227" spans="1:17" ht="15" customHeight="1">
      <c r="A227" s="12">
        <v>226</v>
      </c>
      <c r="B227" s="5" t="s">
        <v>128</v>
      </c>
      <c r="C227" s="5" t="s">
        <v>334</v>
      </c>
      <c r="D227" s="5"/>
      <c r="E227" s="52"/>
      <c r="F227" s="4" t="s">
        <v>20</v>
      </c>
      <c r="G227" s="3" t="s">
        <v>21</v>
      </c>
      <c r="H227" s="5">
        <v>0</v>
      </c>
      <c r="I227" s="5" t="s">
        <v>20</v>
      </c>
      <c r="J227" s="5"/>
      <c r="K227" s="5"/>
      <c r="L227" s="5">
        <v>0</v>
      </c>
      <c r="M227" s="59">
        <v>46097</v>
      </c>
      <c r="N227" s="5"/>
      <c r="O227" s="5"/>
      <c r="P227" s="5"/>
      <c r="Q227" s="5" t="s">
        <v>181</v>
      </c>
    </row>
    <row r="228" spans="1:17" ht="15" customHeight="1">
      <c r="A228" s="12">
        <v>227</v>
      </c>
      <c r="B228" s="5" t="s">
        <v>128</v>
      </c>
      <c r="C228" s="5" t="s">
        <v>335</v>
      </c>
      <c r="D228" s="5"/>
      <c r="E228" s="52"/>
      <c r="F228" s="4" t="s">
        <v>20</v>
      </c>
      <c r="G228" s="3" t="s">
        <v>21</v>
      </c>
      <c r="H228" s="5">
        <v>0</v>
      </c>
      <c r="I228" s="5" t="s">
        <v>20</v>
      </c>
      <c r="J228" s="5"/>
      <c r="K228" s="5"/>
      <c r="L228" s="5">
        <v>0</v>
      </c>
      <c r="M228" s="59">
        <v>46097</v>
      </c>
      <c r="N228" s="5"/>
      <c r="O228" s="5"/>
      <c r="P228" s="5"/>
      <c r="Q228" s="5" t="s">
        <v>181</v>
      </c>
    </row>
    <row r="229" spans="1:17" ht="15" customHeight="1">
      <c r="A229" s="12">
        <v>228</v>
      </c>
      <c r="B229" s="5" t="s">
        <v>92</v>
      </c>
      <c r="C229" s="5" t="s">
        <v>336</v>
      </c>
      <c r="D229" s="5"/>
      <c r="E229" s="52"/>
      <c r="F229" s="4" t="s">
        <v>20</v>
      </c>
      <c r="G229" s="3" t="s">
        <v>21</v>
      </c>
      <c r="H229" s="5">
        <v>0</v>
      </c>
      <c r="I229" s="5" t="s">
        <v>20</v>
      </c>
      <c r="J229" s="5"/>
      <c r="K229" s="5"/>
      <c r="L229" s="5">
        <v>0</v>
      </c>
      <c r="M229" s="59">
        <v>46097</v>
      </c>
      <c r="N229" s="5"/>
      <c r="O229" s="5"/>
      <c r="P229" s="5"/>
      <c r="Q229" s="5" t="s">
        <v>181</v>
      </c>
    </row>
    <row r="230" spans="1:17" ht="15" customHeight="1">
      <c r="A230" s="12">
        <v>229</v>
      </c>
      <c r="B230" s="5" t="s">
        <v>92</v>
      </c>
      <c r="C230" s="5" t="s">
        <v>337</v>
      </c>
      <c r="D230" s="5"/>
      <c r="E230" s="52"/>
      <c r="F230" s="4" t="s">
        <v>20</v>
      </c>
      <c r="G230" s="3" t="s">
        <v>21</v>
      </c>
      <c r="H230" s="5">
        <v>0</v>
      </c>
      <c r="I230" s="5" t="s">
        <v>20</v>
      </c>
      <c r="J230" s="5"/>
      <c r="K230" s="5"/>
      <c r="L230" s="5">
        <v>0</v>
      </c>
      <c r="M230" s="59">
        <v>46097</v>
      </c>
      <c r="N230" s="5"/>
      <c r="O230" s="5"/>
      <c r="P230" s="5"/>
      <c r="Q230" s="5" t="s">
        <v>181</v>
      </c>
    </row>
    <row r="231" spans="1:17" ht="15" customHeight="1">
      <c r="A231" s="12">
        <v>230</v>
      </c>
      <c r="B231" s="5" t="s">
        <v>108</v>
      </c>
      <c r="C231" s="5" t="s">
        <v>338</v>
      </c>
      <c r="D231" s="5"/>
      <c r="E231" s="52"/>
      <c r="F231" s="4" t="s">
        <v>20</v>
      </c>
      <c r="G231" s="3" t="s">
        <v>21</v>
      </c>
      <c r="H231" s="5">
        <v>0</v>
      </c>
      <c r="I231" s="5" t="s">
        <v>20</v>
      </c>
      <c r="J231" s="5"/>
      <c r="K231" s="5"/>
      <c r="L231" s="5">
        <v>0</v>
      </c>
      <c r="M231" s="59">
        <v>46097</v>
      </c>
      <c r="N231" s="5"/>
      <c r="O231" s="5"/>
      <c r="P231" s="5"/>
      <c r="Q231" s="5" t="s">
        <v>181</v>
      </c>
    </row>
    <row r="232" spans="1:17" ht="15" customHeight="1">
      <c r="A232" s="12">
        <v>231</v>
      </c>
      <c r="B232" s="5" t="s">
        <v>108</v>
      </c>
      <c r="C232" s="5" t="s">
        <v>339</v>
      </c>
      <c r="D232" s="5"/>
      <c r="E232" s="52"/>
      <c r="F232" s="4" t="s">
        <v>20</v>
      </c>
      <c r="G232" s="3" t="s">
        <v>21</v>
      </c>
      <c r="H232" s="5">
        <v>0</v>
      </c>
      <c r="I232" s="5" t="s">
        <v>20</v>
      </c>
      <c r="J232" s="5"/>
      <c r="K232" s="5"/>
      <c r="L232" s="5">
        <v>0</v>
      </c>
      <c r="M232" s="59">
        <v>46097</v>
      </c>
      <c r="N232" s="5"/>
      <c r="O232" s="5"/>
      <c r="P232" s="5"/>
      <c r="Q232" s="5" t="s">
        <v>181</v>
      </c>
    </row>
    <row r="233" spans="1:17" ht="15" customHeight="1">
      <c r="A233" s="12">
        <v>232</v>
      </c>
      <c r="B233" s="5" t="s">
        <v>108</v>
      </c>
      <c r="C233" s="5" t="s">
        <v>340</v>
      </c>
      <c r="D233" s="5"/>
      <c r="E233" s="52"/>
      <c r="F233" s="4" t="s">
        <v>20</v>
      </c>
      <c r="G233" s="3" t="s">
        <v>21</v>
      </c>
      <c r="H233" s="5">
        <v>0</v>
      </c>
      <c r="I233" s="5" t="s">
        <v>20</v>
      </c>
      <c r="J233" s="5"/>
      <c r="K233" s="5"/>
      <c r="L233" s="5">
        <v>0</v>
      </c>
      <c r="M233" s="59">
        <v>46097</v>
      </c>
      <c r="N233" s="5"/>
      <c r="O233" s="5"/>
      <c r="P233" s="5"/>
      <c r="Q233" s="5" t="s">
        <v>181</v>
      </c>
    </row>
    <row r="234" spans="1:17" ht="15" customHeight="1">
      <c r="A234" s="12">
        <v>233</v>
      </c>
      <c r="B234" s="5" t="s">
        <v>108</v>
      </c>
      <c r="C234" s="5" t="s">
        <v>341</v>
      </c>
      <c r="D234" s="5"/>
      <c r="E234" s="52"/>
      <c r="F234" s="4" t="s">
        <v>20</v>
      </c>
      <c r="G234" s="3" t="s">
        <v>21</v>
      </c>
      <c r="H234" s="5">
        <v>0</v>
      </c>
      <c r="I234" s="5" t="s">
        <v>20</v>
      </c>
      <c r="J234" s="5"/>
      <c r="K234" s="5"/>
      <c r="L234" s="5">
        <v>0</v>
      </c>
      <c r="M234" s="59">
        <v>46097</v>
      </c>
      <c r="N234" s="5"/>
      <c r="O234" s="5"/>
      <c r="P234" s="5"/>
      <c r="Q234" s="5" t="s">
        <v>181</v>
      </c>
    </row>
    <row r="235" spans="1:17" ht="15" customHeight="1">
      <c r="A235" s="12">
        <v>234</v>
      </c>
      <c r="B235" s="5" t="s">
        <v>342</v>
      </c>
      <c r="C235" s="5" t="s">
        <v>343</v>
      </c>
      <c r="D235" s="5"/>
      <c r="E235" s="52"/>
      <c r="F235" s="4" t="s">
        <v>20</v>
      </c>
      <c r="G235" s="3" t="s">
        <v>21</v>
      </c>
      <c r="H235" s="5">
        <v>0</v>
      </c>
      <c r="I235" s="5" t="s">
        <v>20</v>
      </c>
      <c r="J235" s="5"/>
      <c r="K235" s="5"/>
      <c r="L235" s="5">
        <v>0</v>
      </c>
      <c r="M235" s="59">
        <v>46097</v>
      </c>
      <c r="N235" s="5"/>
      <c r="O235" s="5"/>
      <c r="P235" s="5"/>
      <c r="Q235" s="5" t="s">
        <v>181</v>
      </c>
    </row>
    <row r="236" spans="1:17" ht="15" customHeight="1">
      <c r="A236" s="12">
        <v>235</v>
      </c>
      <c r="B236" s="5" t="s">
        <v>342</v>
      </c>
      <c r="C236" s="5" t="s">
        <v>344</v>
      </c>
      <c r="D236" s="5"/>
      <c r="E236" s="52"/>
      <c r="F236" s="4" t="s">
        <v>20</v>
      </c>
      <c r="G236" s="3" t="s">
        <v>21</v>
      </c>
      <c r="H236" s="5">
        <v>0</v>
      </c>
      <c r="I236" s="5" t="s">
        <v>20</v>
      </c>
      <c r="J236" s="5"/>
      <c r="K236" s="5"/>
      <c r="L236" s="5">
        <v>0</v>
      </c>
      <c r="M236" s="59">
        <v>46097</v>
      </c>
      <c r="N236" s="5"/>
      <c r="O236" s="5"/>
      <c r="P236" s="5"/>
      <c r="Q236" s="5" t="s">
        <v>181</v>
      </c>
    </row>
    <row r="237" spans="1:17" ht="15" customHeight="1">
      <c r="A237" s="12">
        <v>236</v>
      </c>
      <c r="B237" s="5" t="s">
        <v>17</v>
      </c>
      <c r="C237" s="5" t="s">
        <v>345</v>
      </c>
      <c r="D237" s="5"/>
      <c r="E237" s="52"/>
      <c r="F237" s="4" t="s">
        <v>20</v>
      </c>
      <c r="G237" s="3" t="s">
        <v>21</v>
      </c>
      <c r="H237" s="5">
        <v>0</v>
      </c>
      <c r="I237" s="5" t="s">
        <v>20</v>
      </c>
      <c r="J237" s="5"/>
      <c r="K237" s="5"/>
      <c r="L237" s="5">
        <v>0</v>
      </c>
      <c r="M237" s="59">
        <v>46097</v>
      </c>
      <c r="N237" s="5"/>
      <c r="O237" s="5"/>
      <c r="P237" s="5"/>
      <c r="Q237" s="5" t="s">
        <v>181</v>
      </c>
    </row>
    <row r="238" spans="1:17" ht="15" customHeight="1">
      <c r="A238" s="12">
        <v>237</v>
      </c>
      <c r="B238" s="5" t="s">
        <v>17</v>
      </c>
      <c r="C238" s="5" t="s">
        <v>346</v>
      </c>
      <c r="D238" s="5"/>
      <c r="E238" s="52"/>
      <c r="F238" s="4" t="s">
        <v>20</v>
      </c>
      <c r="G238" s="3" t="s">
        <v>21</v>
      </c>
      <c r="H238" s="5">
        <v>0</v>
      </c>
      <c r="I238" s="5" t="s">
        <v>20</v>
      </c>
      <c r="J238" s="5"/>
      <c r="K238" s="5"/>
      <c r="L238" s="5">
        <v>0</v>
      </c>
      <c r="M238" s="59">
        <v>46097</v>
      </c>
      <c r="N238" s="5"/>
      <c r="O238" s="5"/>
      <c r="P238" s="5"/>
      <c r="Q238" s="5" t="s">
        <v>181</v>
      </c>
    </row>
    <row r="239" spans="1:17" ht="15" customHeight="1">
      <c r="A239" s="12">
        <v>238</v>
      </c>
      <c r="B239" s="5" t="s">
        <v>347</v>
      </c>
      <c r="C239" s="5" t="s">
        <v>348</v>
      </c>
      <c r="D239" s="5"/>
      <c r="E239" s="52"/>
      <c r="F239" s="4" t="s">
        <v>20</v>
      </c>
      <c r="G239" s="3" t="s">
        <v>21</v>
      </c>
      <c r="H239" s="5">
        <v>0</v>
      </c>
      <c r="I239" s="5" t="s">
        <v>20</v>
      </c>
      <c r="J239" s="5"/>
      <c r="K239" s="5"/>
      <c r="L239" s="5">
        <v>0</v>
      </c>
      <c r="M239" s="59">
        <v>46097</v>
      </c>
      <c r="N239" s="5"/>
      <c r="O239" s="5"/>
      <c r="P239" s="5"/>
      <c r="Q239" s="5" t="s">
        <v>181</v>
      </c>
    </row>
    <row r="240" spans="1:17" ht="15" customHeight="1">
      <c r="A240" s="12">
        <v>239</v>
      </c>
      <c r="B240" s="5" t="s">
        <v>17</v>
      </c>
      <c r="C240" s="5" t="s">
        <v>349</v>
      </c>
      <c r="D240" s="5"/>
      <c r="E240" s="52"/>
      <c r="F240" s="4" t="s">
        <v>20</v>
      </c>
      <c r="G240" s="3" t="s">
        <v>21</v>
      </c>
      <c r="H240" s="5">
        <v>0</v>
      </c>
      <c r="I240" s="5" t="s">
        <v>20</v>
      </c>
      <c r="J240" s="5"/>
      <c r="K240" s="5"/>
      <c r="L240" s="5">
        <v>0</v>
      </c>
      <c r="M240" s="59">
        <v>46097</v>
      </c>
      <c r="N240" s="5"/>
      <c r="O240" s="5"/>
      <c r="P240" s="5"/>
      <c r="Q240" s="5" t="s">
        <v>181</v>
      </c>
    </row>
    <row r="241" spans="1:17" ht="15" customHeight="1">
      <c r="A241" s="12">
        <v>240</v>
      </c>
      <c r="B241" s="5" t="s">
        <v>128</v>
      </c>
      <c r="C241" s="5" t="s">
        <v>350</v>
      </c>
      <c r="D241" s="5"/>
      <c r="E241" s="52"/>
      <c r="F241" s="4" t="s">
        <v>20</v>
      </c>
      <c r="G241" s="3" t="s">
        <v>21</v>
      </c>
      <c r="H241" s="5">
        <v>0</v>
      </c>
      <c r="I241" s="5" t="s">
        <v>20</v>
      </c>
      <c r="J241" s="5"/>
      <c r="K241" s="5"/>
      <c r="L241" s="5">
        <v>0</v>
      </c>
      <c r="M241" s="59">
        <v>46097</v>
      </c>
      <c r="N241" s="5"/>
      <c r="O241" s="5"/>
      <c r="P241" s="5"/>
      <c r="Q241" s="5" t="s">
        <v>181</v>
      </c>
    </row>
    <row r="242" spans="1:17" ht="15" customHeight="1">
      <c r="A242" s="12">
        <v>241</v>
      </c>
      <c r="B242" s="5" t="s">
        <v>128</v>
      </c>
      <c r="C242" s="5" t="s">
        <v>351</v>
      </c>
      <c r="D242" s="5"/>
      <c r="E242" s="52"/>
      <c r="F242" s="4" t="s">
        <v>20</v>
      </c>
      <c r="G242" s="3" t="s">
        <v>21</v>
      </c>
      <c r="H242" s="5">
        <v>0</v>
      </c>
      <c r="I242" s="5" t="s">
        <v>20</v>
      </c>
      <c r="J242" s="5"/>
      <c r="K242" s="5"/>
      <c r="L242" s="5">
        <v>0</v>
      </c>
      <c r="M242" s="59">
        <v>46097</v>
      </c>
      <c r="N242" s="5"/>
      <c r="O242" s="5"/>
      <c r="P242" s="5"/>
      <c r="Q242" s="5" t="s">
        <v>181</v>
      </c>
    </row>
    <row r="243" spans="1:17" ht="15" customHeight="1">
      <c r="A243" s="12">
        <v>242</v>
      </c>
      <c r="B243" s="5" t="s">
        <v>128</v>
      </c>
      <c r="C243" s="5" t="s">
        <v>352</v>
      </c>
      <c r="D243" s="5"/>
      <c r="E243" s="52"/>
      <c r="F243" s="4" t="s">
        <v>20</v>
      </c>
      <c r="G243" s="3" t="s">
        <v>21</v>
      </c>
      <c r="H243" s="5">
        <v>0</v>
      </c>
      <c r="I243" s="5" t="s">
        <v>20</v>
      </c>
      <c r="J243" s="5"/>
      <c r="K243" s="5"/>
      <c r="L243" s="5">
        <v>0</v>
      </c>
      <c r="M243" s="59">
        <v>46097</v>
      </c>
      <c r="N243" s="5"/>
      <c r="O243" s="5"/>
      <c r="P243" s="5"/>
      <c r="Q243" s="5" t="s">
        <v>181</v>
      </c>
    </row>
    <row r="244" spans="1:17" ht="15" customHeight="1">
      <c r="A244" s="12">
        <v>243</v>
      </c>
      <c r="B244" s="5" t="s">
        <v>128</v>
      </c>
      <c r="C244" s="5" t="s">
        <v>353</v>
      </c>
      <c r="D244" s="5"/>
      <c r="E244" s="52"/>
      <c r="F244" s="4" t="s">
        <v>20</v>
      </c>
      <c r="G244" s="3" t="s">
        <v>21</v>
      </c>
      <c r="H244" s="5">
        <v>0</v>
      </c>
      <c r="I244" s="5" t="s">
        <v>20</v>
      </c>
      <c r="J244" s="5"/>
      <c r="K244" s="5"/>
      <c r="L244" s="5">
        <v>0</v>
      </c>
      <c r="M244" s="59">
        <v>46097</v>
      </c>
      <c r="N244" s="5"/>
      <c r="O244" s="5"/>
      <c r="P244" s="5"/>
      <c r="Q244" s="5" t="s">
        <v>181</v>
      </c>
    </row>
    <row r="245" spans="1:17" ht="15" customHeight="1">
      <c r="A245" s="12">
        <v>244</v>
      </c>
      <c r="B245" s="5" t="s">
        <v>128</v>
      </c>
      <c r="C245" s="5" t="s">
        <v>354</v>
      </c>
      <c r="D245" s="5"/>
      <c r="E245" s="52"/>
      <c r="F245" s="4" t="s">
        <v>20</v>
      </c>
      <c r="G245" s="3" t="s">
        <v>21</v>
      </c>
      <c r="H245" s="5">
        <v>0</v>
      </c>
      <c r="I245" s="5" t="s">
        <v>20</v>
      </c>
      <c r="J245" s="5"/>
      <c r="K245" s="5"/>
      <c r="L245" s="5">
        <v>0</v>
      </c>
      <c r="M245" s="59">
        <v>46097</v>
      </c>
      <c r="N245" s="5"/>
      <c r="O245" s="5"/>
      <c r="P245" s="5"/>
      <c r="Q245" s="5" t="s">
        <v>181</v>
      </c>
    </row>
    <row r="246" spans="1:17" ht="15" customHeight="1">
      <c r="A246" s="12">
        <v>245</v>
      </c>
      <c r="B246" s="5" t="s">
        <v>108</v>
      </c>
      <c r="C246" s="5" t="s">
        <v>355</v>
      </c>
      <c r="D246" s="5"/>
      <c r="E246" s="52"/>
      <c r="F246" s="4" t="s">
        <v>20</v>
      </c>
      <c r="G246" s="3" t="s">
        <v>21</v>
      </c>
      <c r="H246" s="5">
        <v>0</v>
      </c>
      <c r="I246" s="5" t="s">
        <v>20</v>
      </c>
      <c r="J246" s="5"/>
      <c r="K246" s="5"/>
      <c r="L246" s="5">
        <v>0</v>
      </c>
      <c r="M246" s="59">
        <v>46097</v>
      </c>
      <c r="N246" s="5"/>
      <c r="O246" s="5"/>
      <c r="P246" s="5"/>
      <c r="Q246" s="5" t="s">
        <v>181</v>
      </c>
    </row>
    <row r="247" spans="1:17" ht="15" customHeight="1">
      <c r="A247" s="12">
        <v>246</v>
      </c>
      <c r="B247" s="5" t="s">
        <v>108</v>
      </c>
      <c r="C247" s="5" t="s">
        <v>356</v>
      </c>
      <c r="D247" s="5"/>
      <c r="E247" s="52"/>
      <c r="F247" s="4" t="s">
        <v>20</v>
      </c>
      <c r="G247" s="3" t="s">
        <v>21</v>
      </c>
      <c r="H247" s="5">
        <v>0</v>
      </c>
      <c r="I247" s="5" t="s">
        <v>20</v>
      </c>
      <c r="J247" s="5"/>
      <c r="K247" s="5"/>
      <c r="L247" s="5">
        <v>0</v>
      </c>
      <c r="M247" s="59">
        <v>46097</v>
      </c>
      <c r="N247" s="5"/>
      <c r="O247" s="5"/>
      <c r="P247" s="5"/>
      <c r="Q247" s="5" t="s">
        <v>181</v>
      </c>
    </row>
    <row r="248" spans="1:17" ht="15" customHeight="1">
      <c r="A248" s="12">
        <v>247</v>
      </c>
      <c r="B248" s="5" t="s">
        <v>108</v>
      </c>
      <c r="C248" s="5" t="s">
        <v>357</v>
      </c>
      <c r="D248" s="5"/>
      <c r="E248" s="52"/>
      <c r="F248" s="4" t="s">
        <v>20</v>
      </c>
      <c r="G248" s="3" t="s">
        <v>21</v>
      </c>
      <c r="H248" s="5">
        <v>0</v>
      </c>
      <c r="I248" s="5" t="s">
        <v>20</v>
      </c>
      <c r="J248" s="5"/>
      <c r="K248" s="5"/>
      <c r="L248" s="5">
        <v>0</v>
      </c>
      <c r="M248" s="59">
        <v>46097</v>
      </c>
      <c r="N248" s="5"/>
      <c r="O248" s="5"/>
      <c r="P248" s="5"/>
      <c r="Q248" s="5" t="s">
        <v>181</v>
      </c>
    </row>
    <row r="249" spans="1:17" ht="15" customHeight="1">
      <c r="A249" s="12">
        <v>248</v>
      </c>
      <c r="B249" s="5" t="s">
        <v>108</v>
      </c>
      <c r="C249" s="5" t="s">
        <v>358</v>
      </c>
      <c r="D249" s="5"/>
      <c r="E249" s="52"/>
      <c r="F249" s="4" t="s">
        <v>20</v>
      </c>
      <c r="G249" s="3" t="s">
        <v>21</v>
      </c>
      <c r="H249" s="5">
        <v>0</v>
      </c>
      <c r="I249" s="5" t="s">
        <v>20</v>
      </c>
      <c r="J249" s="5"/>
      <c r="K249" s="5"/>
      <c r="L249" s="5">
        <v>0</v>
      </c>
      <c r="M249" s="59">
        <v>46097</v>
      </c>
      <c r="N249" s="5"/>
      <c r="O249" s="5"/>
      <c r="P249" s="5"/>
      <c r="Q249" s="5" t="s">
        <v>181</v>
      </c>
    </row>
    <row r="250" spans="1:17" ht="15" customHeight="1">
      <c r="A250" s="12">
        <v>249</v>
      </c>
      <c r="B250" s="5" t="s">
        <v>108</v>
      </c>
      <c r="C250" s="5" t="s">
        <v>359</v>
      </c>
      <c r="D250" s="5"/>
      <c r="E250" s="52"/>
      <c r="F250" s="4" t="s">
        <v>20</v>
      </c>
      <c r="G250" s="3" t="s">
        <v>21</v>
      </c>
      <c r="H250" s="5">
        <v>0</v>
      </c>
      <c r="I250" s="5" t="s">
        <v>20</v>
      </c>
      <c r="J250" s="5"/>
      <c r="K250" s="5"/>
      <c r="L250" s="5">
        <v>0</v>
      </c>
      <c r="M250" s="59">
        <v>46097</v>
      </c>
      <c r="N250" s="5"/>
      <c r="O250" s="5"/>
      <c r="P250" s="5"/>
      <c r="Q250" s="5" t="s">
        <v>181</v>
      </c>
    </row>
    <row r="251" spans="1:17" ht="15" customHeight="1">
      <c r="A251" s="12">
        <v>250</v>
      </c>
      <c r="B251" s="5" t="s">
        <v>108</v>
      </c>
      <c r="C251" s="5" t="s">
        <v>360</v>
      </c>
      <c r="D251" s="5"/>
      <c r="E251" s="52"/>
      <c r="F251" s="4" t="s">
        <v>20</v>
      </c>
      <c r="G251" s="3" t="s">
        <v>21</v>
      </c>
      <c r="H251" s="5">
        <v>0</v>
      </c>
      <c r="I251" s="5" t="s">
        <v>20</v>
      </c>
      <c r="J251" s="5"/>
      <c r="K251" s="5"/>
      <c r="L251" s="5">
        <v>0</v>
      </c>
      <c r="M251" s="59">
        <v>46097</v>
      </c>
      <c r="N251" s="5"/>
      <c r="O251" s="5"/>
      <c r="P251" s="5"/>
      <c r="Q251" s="5" t="s">
        <v>181</v>
      </c>
    </row>
    <row r="252" spans="1:17" ht="15" customHeight="1">
      <c r="A252" s="12">
        <v>251</v>
      </c>
      <c r="B252" s="5" t="s">
        <v>53</v>
      </c>
      <c r="C252" s="5" t="s">
        <v>361</v>
      </c>
      <c r="D252" s="5"/>
      <c r="E252" s="52"/>
      <c r="F252" s="4" t="s">
        <v>20</v>
      </c>
      <c r="G252" s="3" t="s">
        <v>21</v>
      </c>
      <c r="H252" s="5">
        <v>0</v>
      </c>
      <c r="I252" s="5" t="s">
        <v>20</v>
      </c>
      <c r="J252" s="5"/>
      <c r="K252" s="5"/>
      <c r="L252" s="5">
        <v>0</v>
      </c>
      <c r="M252" s="59">
        <v>46097</v>
      </c>
      <c r="N252" s="5"/>
      <c r="O252" s="5"/>
      <c r="P252" s="5"/>
      <c r="Q252" s="5" t="s">
        <v>181</v>
      </c>
    </row>
    <row r="253" spans="1:17" ht="15" customHeight="1">
      <c r="A253" s="12">
        <v>252</v>
      </c>
      <c r="B253" s="5" t="s">
        <v>53</v>
      </c>
      <c r="C253" s="5" t="s">
        <v>362</v>
      </c>
      <c r="D253" s="5"/>
      <c r="E253" s="52"/>
      <c r="F253" s="4" t="s">
        <v>20</v>
      </c>
      <c r="G253" s="3" t="s">
        <v>21</v>
      </c>
      <c r="H253" s="5">
        <v>0</v>
      </c>
      <c r="I253" s="5" t="s">
        <v>20</v>
      </c>
      <c r="J253" s="5"/>
      <c r="K253" s="5"/>
      <c r="L253" s="5">
        <v>0</v>
      </c>
      <c r="M253" s="59">
        <v>46097</v>
      </c>
      <c r="N253" s="5"/>
      <c r="O253" s="5"/>
      <c r="P253" s="5"/>
      <c r="Q253" s="5" t="s">
        <v>181</v>
      </c>
    </row>
    <row r="254" spans="1:17" ht="15" customHeight="1">
      <c r="A254" s="12">
        <v>253</v>
      </c>
      <c r="B254" s="5" t="s">
        <v>128</v>
      </c>
      <c r="C254" s="5" t="s">
        <v>363</v>
      </c>
      <c r="D254" s="5"/>
      <c r="E254" s="52"/>
      <c r="F254" s="4" t="s">
        <v>20</v>
      </c>
      <c r="G254" s="3" t="s">
        <v>21</v>
      </c>
      <c r="H254" s="5">
        <v>0</v>
      </c>
      <c r="I254" s="5" t="s">
        <v>20</v>
      </c>
      <c r="J254" s="5"/>
      <c r="K254" s="5"/>
      <c r="L254" s="5">
        <v>0</v>
      </c>
      <c r="M254" s="59">
        <v>46097</v>
      </c>
      <c r="N254" s="5"/>
      <c r="O254" s="5"/>
      <c r="P254" s="5"/>
      <c r="Q254" s="5" t="s">
        <v>181</v>
      </c>
    </row>
    <row r="255" spans="1:17" ht="15" customHeight="1">
      <c r="A255" s="12">
        <v>254</v>
      </c>
      <c r="B255" s="5" t="s">
        <v>185</v>
      </c>
      <c r="C255" s="5" t="s">
        <v>364</v>
      </c>
      <c r="D255" s="5"/>
      <c r="E255" s="52"/>
      <c r="F255" s="4" t="s">
        <v>20</v>
      </c>
      <c r="G255" s="3" t="s">
        <v>21</v>
      </c>
      <c r="H255" s="5">
        <v>0</v>
      </c>
      <c r="I255" s="5" t="s">
        <v>20</v>
      </c>
      <c r="J255" s="5"/>
      <c r="K255" s="5"/>
      <c r="L255" s="5">
        <v>0</v>
      </c>
      <c r="M255" s="59">
        <v>46097</v>
      </c>
      <c r="N255" s="5"/>
      <c r="O255" s="5"/>
      <c r="P255" s="5"/>
      <c r="Q255" s="5" t="s">
        <v>181</v>
      </c>
    </row>
    <row r="256" spans="1:17" ht="15" customHeight="1">
      <c r="A256" s="12">
        <v>255</v>
      </c>
      <c r="B256" s="5" t="s">
        <v>17</v>
      </c>
      <c r="C256" s="5" t="s">
        <v>365</v>
      </c>
      <c r="D256" s="5"/>
      <c r="E256" s="52"/>
      <c r="F256" s="4" t="s">
        <v>20</v>
      </c>
      <c r="G256" s="3" t="s">
        <v>21</v>
      </c>
      <c r="H256" s="5">
        <v>0</v>
      </c>
      <c r="I256" s="5" t="s">
        <v>20</v>
      </c>
      <c r="J256" s="5"/>
      <c r="K256" s="5"/>
      <c r="L256" s="5">
        <v>0</v>
      </c>
      <c r="M256" s="59">
        <v>46097</v>
      </c>
      <c r="N256" s="5"/>
      <c r="O256" s="5"/>
      <c r="P256" s="5"/>
      <c r="Q256" s="5" t="s">
        <v>181</v>
      </c>
    </row>
    <row r="257" spans="1:17" ht="15" customHeight="1">
      <c r="A257" s="12">
        <v>256</v>
      </c>
      <c r="B257" s="5" t="s">
        <v>128</v>
      </c>
      <c r="C257" s="5" t="s">
        <v>366</v>
      </c>
      <c r="D257" s="5"/>
      <c r="E257" s="52"/>
      <c r="F257" s="4" t="s">
        <v>20</v>
      </c>
      <c r="G257" s="3" t="s">
        <v>21</v>
      </c>
      <c r="H257" s="5">
        <v>0</v>
      </c>
      <c r="I257" s="5" t="s">
        <v>20</v>
      </c>
      <c r="J257" s="5"/>
      <c r="K257" s="5"/>
      <c r="L257" s="5">
        <v>0</v>
      </c>
      <c r="M257" s="59">
        <v>46097</v>
      </c>
      <c r="N257" s="5"/>
      <c r="O257" s="5"/>
      <c r="P257" s="5"/>
      <c r="Q257" s="5" t="s">
        <v>181</v>
      </c>
    </row>
    <row r="258" spans="1:17" ht="15" customHeight="1">
      <c r="A258" s="12">
        <v>257</v>
      </c>
      <c r="B258" s="5" t="s">
        <v>128</v>
      </c>
      <c r="C258" s="5" t="s">
        <v>367</v>
      </c>
      <c r="D258" s="5"/>
      <c r="E258" s="52"/>
      <c r="F258" s="4" t="s">
        <v>20</v>
      </c>
      <c r="G258" s="3" t="s">
        <v>21</v>
      </c>
      <c r="H258" s="5">
        <v>0</v>
      </c>
      <c r="I258" s="5" t="s">
        <v>20</v>
      </c>
      <c r="J258" s="5"/>
      <c r="K258" s="5"/>
      <c r="L258" s="5">
        <v>0</v>
      </c>
      <c r="M258" s="59">
        <v>46097</v>
      </c>
      <c r="N258" s="5"/>
      <c r="O258" s="5"/>
      <c r="P258" s="5"/>
      <c r="Q258" s="5" t="s">
        <v>181</v>
      </c>
    </row>
    <row r="259" spans="1:17" ht="15" customHeight="1">
      <c r="A259" s="12">
        <v>258</v>
      </c>
      <c r="B259" s="5" t="s">
        <v>128</v>
      </c>
      <c r="C259" s="5" t="s">
        <v>368</v>
      </c>
      <c r="D259" s="5"/>
      <c r="E259" s="52"/>
      <c r="F259" s="4" t="s">
        <v>20</v>
      </c>
      <c r="G259" s="3" t="s">
        <v>21</v>
      </c>
      <c r="H259" s="5">
        <v>0</v>
      </c>
      <c r="I259" s="5" t="s">
        <v>20</v>
      </c>
      <c r="J259" s="5"/>
      <c r="K259" s="5"/>
      <c r="L259" s="5">
        <v>0</v>
      </c>
      <c r="M259" s="59">
        <v>46097</v>
      </c>
      <c r="N259" s="5"/>
      <c r="O259" s="5"/>
      <c r="P259" s="5"/>
      <c r="Q259" s="5" t="s">
        <v>181</v>
      </c>
    </row>
    <row r="260" spans="1:17" ht="15" customHeight="1">
      <c r="A260" s="12">
        <v>259</v>
      </c>
      <c r="B260" s="5" t="s">
        <v>128</v>
      </c>
      <c r="C260" s="5" t="s">
        <v>369</v>
      </c>
      <c r="D260" s="5"/>
      <c r="E260" s="52"/>
      <c r="F260" s="4" t="s">
        <v>20</v>
      </c>
      <c r="G260" s="3" t="s">
        <v>21</v>
      </c>
      <c r="H260" s="5">
        <v>0</v>
      </c>
      <c r="I260" s="5" t="s">
        <v>20</v>
      </c>
      <c r="J260" s="5"/>
      <c r="K260" s="5"/>
      <c r="L260" s="5">
        <v>0</v>
      </c>
      <c r="M260" s="59">
        <v>46097</v>
      </c>
      <c r="N260" s="5"/>
      <c r="O260" s="5"/>
      <c r="P260" s="5"/>
      <c r="Q260" s="5" t="s">
        <v>181</v>
      </c>
    </row>
    <row r="261" spans="1:17" ht="15" customHeight="1">
      <c r="A261"/>
    </row>
    <row r="266" spans="1:17" ht="15" customHeight="1">
      <c r="M266" s="50"/>
    </row>
    <row r="269" spans="1:17" ht="15" customHeight="1">
      <c r="N269" s="50"/>
    </row>
  </sheetData>
  <autoFilter ref="A1:Q260" xr:uid="{9F0E62C8-53A0-4DC8-A5F1-B4C24BD3E012}"/>
  <pageMargins left="0.7" right="0.7" top="0.75" bottom="0.75" header="0.3" footer="0.3"/>
  <headerFooter>
    <oddFooter>&amp;C_x000D_&amp;1#&amp;"Calibri"&amp;9&amp;K000000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51130-4BC8-48F1-A78C-1EDE691F7681}">
  <sheetPr filterMode="1"/>
  <dimension ref="A1:K430"/>
  <sheetViews>
    <sheetView showGridLines="0" tabSelected="1" workbookViewId="0">
      <pane xSplit="4" ySplit="1" topLeftCell="E123" activePane="bottomRight" state="frozen"/>
      <selection pane="bottomRight" activeCell="C1" sqref="C1:K1"/>
      <selection pane="bottomLeft"/>
      <selection pane="topRight"/>
    </sheetView>
  </sheetViews>
  <sheetFormatPr defaultColWidth="15.140625" defaultRowHeight="15"/>
  <cols>
    <col min="1" max="1" width="15.140625" style="45"/>
    <col min="2" max="2" width="15.140625" style="2"/>
    <col min="3" max="3" width="36.140625" style="31" customWidth="1"/>
    <col min="4" max="4" width="31.5703125" style="31" customWidth="1"/>
    <col min="5" max="6" width="20.5703125" style="2" customWidth="1"/>
    <col min="7" max="16384" width="15.140625" style="2"/>
  </cols>
  <sheetData>
    <row r="1" spans="1:11" ht="57.75">
      <c r="A1" s="44" t="s">
        <v>0</v>
      </c>
      <c r="B1" s="37" t="s">
        <v>370</v>
      </c>
      <c r="C1" s="37" t="s">
        <v>2</v>
      </c>
      <c r="D1" s="37" t="s">
        <v>371</v>
      </c>
      <c r="E1" s="37" t="s">
        <v>372</v>
      </c>
      <c r="F1" s="38" t="s">
        <v>373</v>
      </c>
      <c r="G1" s="37" t="s">
        <v>374</v>
      </c>
      <c r="H1" s="37" t="s">
        <v>375</v>
      </c>
      <c r="I1" s="37" t="s">
        <v>376</v>
      </c>
      <c r="J1" s="37" t="s">
        <v>377</v>
      </c>
      <c r="K1" s="37" t="s">
        <v>15</v>
      </c>
    </row>
    <row r="2" spans="1:11" hidden="1">
      <c r="A2" s="65" cm="1">
        <f t="array" ref="A2">IFERROR(INDEX('Master Vendor Data'!A:A, MATCH(TRUE, INDEX(TRIM('Master Vendor Data'!C:C)=TRIM(C2), 0), 0)), "")</f>
        <v>76</v>
      </c>
      <c r="B2" s="5" t="s">
        <v>17</v>
      </c>
      <c r="C2" s="39" t="s">
        <v>178</v>
      </c>
      <c r="D2" s="39" t="s">
        <v>179</v>
      </c>
      <c r="E2" s="5"/>
      <c r="F2" s="40">
        <v>350</v>
      </c>
      <c r="G2" s="5"/>
      <c r="H2" s="5"/>
      <c r="I2" s="5"/>
      <c r="J2" s="5"/>
      <c r="K2" s="5"/>
    </row>
    <row r="3" spans="1:11" hidden="1">
      <c r="A3" s="65" cm="1">
        <f t="array" ref="A3">IFERROR(INDEX('Master Vendor Data'!A:A, MATCH(TRUE, INDEX(TRIM('Master Vendor Data'!C:C)=TRIM(C3), 0), 0)), "")</f>
        <v>77</v>
      </c>
      <c r="B3" s="5" t="s">
        <v>17</v>
      </c>
      <c r="C3" s="39" t="s">
        <v>180</v>
      </c>
      <c r="D3" s="39" t="s">
        <v>378</v>
      </c>
      <c r="E3" s="5"/>
      <c r="F3" s="40">
        <v>200</v>
      </c>
      <c r="G3" s="5"/>
      <c r="H3" s="5"/>
      <c r="I3" s="5"/>
      <c r="J3" s="5"/>
      <c r="K3" s="5"/>
    </row>
    <row r="4" spans="1:11" hidden="1">
      <c r="A4" s="65" cm="1">
        <f t="array" ref="A4">IFERROR(INDEX('Master Vendor Data'!A:A, MATCH(TRUE, INDEX(TRIM('Master Vendor Data'!C:C)=TRIM(C4), 0), 0)), "")</f>
        <v>5</v>
      </c>
      <c r="B4" s="5" t="s">
        <v>17</v>
      </c>
      <c r="C4" s="39" t="s">
        <v>27</v>
      </c>
      <c r="D4" s="39" t="s">
        <v>379</v>
      </c>
      <c r="E4" s="5"/>
      <c r="F4" s="40">
        <v>47.25</v>
      </c>
      <c r="G4" s="5"/>
      <c r="H4" s="5"/>
      <c r="I4" s="5"/>
      <c r="J4" s="5"/>
      <c r="K4" s="5"/>
    </row>
    <row r="5" spans="1:11" hidden="1">
      <c r="A5" s="65" cm="1">
        <f t="array" ref="A5">IFERROR(INDEX('Master Vendor Data'!A:A, MATCH(TRUE, INDEX(TRIM('Master Vendor Data'!C:C)=TRIM(C5), 0), 0)), "")</f>
        <v>5</v>
      </c>
      <c r="B5" s="5" t="s">
        <v>17</v>
      </c>
      <c r="C5" s="39" t="s">
        <v>27</v>
      </c>
      <c r="D5" s="39" t="s">
        <v>380</v>
      </c>
      <c r="E5" s="5"/>
      <c r="F5" s="40">
        <v>526.79999999999995</v>
      </c>
      <c r="G5" s="5"/>
      <c r="H5" s="5"/>
      <c r="I5" s="5"/>
      <c r="J5" s="5"/>
      <c r="K5" s="5"/>
    </row>
    <row r="6" spans="1:11" ht="29.25" hidden="1">
      <c r="A6" s="65" cm="1">
        <f t="array" ref="A6">IFERROR(INDEX('Master Vendor Data'!A:A, MATCH(TRUE, INDEX(TRIM('Master Vendor Data'!C:C)=TRIM(C6), 0), 0)), "")</f>
        <v>78</v>
      </c>
      <c r="B6" s="5" t="s">
        <v>17</v>
      </c>
      <c r="C6" s="39" t="s">
        <v>182</v>
      </c>
      <c r="D6" s="39" t="s">
        <v>381</v>
      </c>
      <c r="E6" s="5"/>
      <c r="F6" s="40">
        <v>66.5</v>
      </c>
      <c r="G6" s="5"/>
      <c r="H6" s="5"/>
      <c r="I6" s="5"/>
      <c r="J6" s="5"/>
      <c r="K6" s="5"/>
    </row>
    <row r="7" spans="1:11" hidden="1">
      <c r="A7" s="65" cm="1">
        <f t="array" ref="A7">IFERROR(INDEX('Master Vendor Data'!A:A, MATCH(TRUE, INDEX(TRIM('Master Vendor Data'!C:C)=TRIM(C7), 0), 0)), "")</f>
        <v>78</v>
      </c>
      <c r="B7" s="5" t="s">
        <v>17</v>
      </c>
      <c r="C7" s="39" t="s">
        <v>182</v>
      </c>
      <c r="D7" s="39" t="s">
        <v>382</v>
      </c>
      <c r="E7" s="5"/>
      <c r="F7" s="40">
        <v>358.75</v>
      </c>
      <c r="G7" s="5"/>
      <c r="H7" s="5"/>
      <c r="I7" s="5"/>
      <c r="J7" s="5"/>
      <c r="K7" s="5"/>
    </row>
    <row r="8" spans="1:11" hidden="1">
      <c r="A8" s="65" cm="1">
        <f t="array" ref="A8">IFERROR(INDEX('Master Vendor Data'!A:A, MATCH(TRUE, INDEX(TRIM('Master Vendor Data'!C:C)=TRIM(C8), 0), 0)), "")</f>
        <v>42</v>
      </c>
      <c r="B8" s="5" t="s">
        <v>108</v>
      </c>
      <c r="C8" s="39" t="s">
        <v>110</v>
      </c>
      <c r="D8" s="39" t="s">
        <v>383</v>
      </c>
      <c r="E8" s="5"/>
      <c r="F8" s="40">
        <v>102.9</v>
      </c>
      <c r="G8" s="5"/>
      <c r="H8" s="5"/>
      <c r="I8" s="5"/>
      <c r="J8" s="5"/>
      <c r="K8" s="5"/>
    </row>
    <row r="9" spans="1:11" hidden="1">
      <c r="A9" s="65" cm="1">
        <f t="array" ref="A9">IFERROR(INDEX('Master Vendor Data'!A:A, MATCH(TRUE, INDEX(TRIM('Master Vendor Data'!C:C)=TRIM(C9), 0), 0)), "")</f>
        <v>79</v>
      </c>
      <c r="B9" s="5" t="s">
        <v>183</v>
      </c>
      <c r="C9" s="39" t="s">
        <v>184</v>
      </c>
      <c r="D9" s="39" t="s">
        <v>384</v>
      </c>
      <c r="E9" s="5"/>
      <c r="F9" s="40">
        <v>50</v>
      </c>
      <c r="G9" s="5"/>
      <c r="H9" s="5"/>
      <c r="I9" s="5"/>
      <c r="J9" s="5"/>
      <c r="K9" s="5"/>
    </row>
    <row r="10" spans="1:11" hidden="1">
      <c r="A10" s="65" cm="1">
        <f t="array" ref="A10">IFERROR(INDEX('Master Vendor Data'!A:A, MATCH(TRUE, INDEX(TRIM('Master Vendor Data'!C:C)=TRIM(C10), 0), 0)), "")</f>
        <v>79</v>
      </c>
      <c r="B10" s="5" t="s">
        <v>183</v>
      </c>
      <c r="C10" s="39" t="s">
        <v>184</v>
      </c>
      <c r="D10" s="39" t="s">
        <v>385</v>
      </c>
      <c r="E10" s="5"/>
      <c r="F10" s="40">
        <v>100</v>
      </c>
      <c r="G10" s="5"/>
      <c r="H10" s="5"/>
      <c r="I10" s="5"/>
      <c r="J10" s="5"/>
      <c r="K10" s="5"/>
    </row>
    <row r="11" spans="1:11" hidden="1">
      <c r="A11" s="65" cm="1">
        <f t="array" ref="A11">IFERROR(INDEX('Master Vendor Data'!A:A, MATCH(TRUE, INDEX(TRIM('Master Vendor Data'!C:C)=TRIM(C11), 0), 0)), "")</f>
        <v>80</v>
      </c>
      <c r="B11" s="5" t="s">
        <v>185</v>
      </c>
      <c r="C11" s="39" t="s">
        <v>186</v>
      </c>
      <c r="D11" s="39" t="s">
        <v>386</v>
      </c>
      <c r="E11" s="5"/>
      <c r="F11" s="40">
        <v>1</v>
      </c>
      <c r="G11" s="5"/>
      <c r="H11" s="5"/>
      <c r="I11" s="5"/>
      <c r="J11" s="5"/>
      <c r="K11" s="5"/>
    </row>
    <row r="12" spans="1:11" hidden="1">
      <c r="A12" s="65" cm="1">
        <f t="array" ref="A12">IFERROR(INDEX('Master Vendor Data'!A:A, MATCH(TRUE, INDEX(TRIM('Master Vendor Data'!C:C)=TRIM(C12), 0), 0)), "")</f>
        <v>59</v>
      </c>
      <c r="B12" s="5" t="s">
        <v>185</v>
      </c>
      <c r="C12" s="66" t="s">
        <v>143</v>
      </c>
      <c r="D12" s="39" t="s">
        <v>387</v>
      </c>
      <c r="E12" s="5"/>
      <c r="F12" s="40">
        <v>1004.3</v>
      </c>
      <c r="G12" s="5"/>
      <c r="H12" s="5"/>
      <c r="I12" s="5"/>
      <c r="J12" s="5"/>
      <c r="K12" s="5"/>
    </row>
    <row r="13" spans="1:11" hidden="1">
      <c r="A13" s="65" cm="1">
        <f t="array" ref="A13">IFERROR(INDEX('Master Vendor Data'!A:A, MATCH(TRUE, INDEX(TRIM('Master Vendor Data'!C:C)=TRIM(C13), 0), 0)), "")</f>
        <v>59</v>
      </c>
      <c r="B13" s="5" t="s">
        <v>185</v>
      </c>
      <c r="C13" s="66" t="s">
        <v>143</v>
      </c>
      <c r="D13" s="39" t="s">
        <v>149</v>
      </c>
      <c r="E13" s="5"/>
      <c r="F13" s="40">
        <v>9.4499999999999993</v>
      </c>
      <c r="G13" s="5"/>
      <c r="H13" s="5"/>
      <c r="I13" s="5"/>
      <c r="J13" s="5"/>
      <c r="K13" s="5"/>
    </row>
    <row r="14" spans="1:11" hidden="1">
      <c r="A14" s="65" cm="1">
        <f t="array" ref="A14">IFERROR(INDEX('Master Vendor Data'!A:A, MATCH(TRUE, INDEX(TRIM('Master Vendor Data'!C:C)=TRIM(C14), 0), 0)), "")</f>
        <v>81</v>
      </c>
      <c r="B14" s="5" t="s">
        <v>185</v>
      </c>
      <c r="C14" s="39" t="s">
        <v>187</v>
      </c>
      <c r="D14" s="39" t="s">
        <v>388</v>
      </c>
      <c r="E14" s="5"/>
      <c r="F14" s="40">
        <v>238</v>
      </c>
      <c r="G14" s="5"/>
      <c r="H14" s="5"/>
      <c r="I14" s="5"/>
      <c r="J14" s="5"/>
      <c r="K14" s="5"/>
    </row>
    <row r="15" spans="1:11" hidden="1">
      <c r="A15" s="65" cm="1">
        <f t="array" ref="A15">IFERROR(INDEX('Master Vendor Data'!A:A, MATCH(TRUE, INDEX(TRIM('Master Vendor Data'!C:C)=TRIM(C15), 0), 0)), "")</f>
        <v>82</v>
      </c>
      <c r="B15" s="5" t="s">
        <v>185</v>
      </c>
      <c r="C15" s="39" t="s">
        <v>188</v>
      </c>
      <c r="D15" s="39" t="s">
        <v>389</v>
      </c>
      <c r="E15" s="5"/>
      <c r="F15" s="40">
        <v>222.85</v>
      </c>
      <c r="G15" s="5"/>
      <c r="H15" s="5"/>
      <c r="I15" s="5"/>
      <c r="J15" s="5"/>
      <c r="K15" s="5"/>
    </row>
    <row r="16" spans="1:11" hidden="1">
      <c r="A16" s="65" cm="1">
        <f t="array" ref="A16">IFERROR(INDEX('Master Vendor Data'!A:A, MATCH(TRUE, INDEX(TRIM('Master Vendor Data'!C:C)=TRIM(C16), 0), 0)), "")</f>
        <v>82</v>
      </c>
      <c r="B16" s="5" t="s">
        <v>185</v>
      </c>
      <c r="C16" s="39" t="s">
        <v>188</v>
      </c>
      <c r="D16" s="39" t="s">
        <v>390</v>
      </c>
      <c r="E16" s="5"/>
      <c r="F16" s="40">
        <v>266.8</v>
      </c>
      <c r="G16" s="5"/>
      <c r="H16" s="5"/>
      <c r="I16" s="5"/>
      <c r="J16" s="5"/>
      <c r="K16" s="5"/>
    </row>
    <row r="17" spans="1:11" hidden="1">
      <c r="A17" s="65" cm="1">
        <f t="array" ref="A17">IFERROR(INDEX('Master Vendor Data'!A:A, MATCH(TRUE, INDEX(TRIM('Master Vendor Data'!C:C)=TRIM(C17), 0), 0)), "")</f>
        <v>83</v>
      </c>
      <c r="B17" s="5" t="s">
        <v>53</v>
      </c>
      <c r="C17" s="39" t="s">
        <v>189</v>
      </c>
      <c r="D17" s="39" t="s">
        <v>391</v>
      </c>
      <c r="E17" s="5"/>
      <c r="F17" s="40">
        <v>195</v>
      </c>
      <c r="G17" s="5"/>
      <c r="H17" s="5"/>
      <c r="I17" s="5"/>
      <c r="J17" s="5"/>
      <c r="K17" s="5"/>
    </row>
    <row r="18" spans="1:11" hidden="1">
      <c r="A18" s="65" cm="1">
        <f t="array" ref="A18">IFERROR(INDEX('Master Vendor Data'!A:A, MATCH(TRUE, INDEX(TRIM('Master Vendor Data'!C:C)=TRIM(C18), 0), 0)), "")</f>
        <v>57</v>
      </c>
      <c r="B18" s="5" t="s">
        <v>137</v>
      </c>
      <c r="C18" s="39" t="s">
        <v>138</v>
      </c>
      <c r="D18" s="39" t="s">
        <v>392</v>
      </c>
      <c r="E18" s="5"/>
      <c r="F18" s="40">
        <v>0</v>
      </c>
      <c r="G18" s="5"/>
      <c r="H18" s="5"/>
      <c r="I18" s="5"/>
      <c r="J18" s="5"/>
      <c r="K18" s="5"/>
    </row>
    <row r="19" spans="1:11" hidden="1">
      <c r="A19" s="65" cm="1">
        <f t="array" ref="A19">IFERROR(INDEX('Master Vendor Data'!A:A, MATCH(TRUE, INDEX(TRIM('Master Vendor Data'!C:C)=TRIM(C19), 0), 0)), "")</f>
        <v>84</v>
      </c>
      <c r="B19" s="5" t="s">
        <v>17</v>
      </c>
      <c r="C19" s="39" t="s">
        <v>190</v>
      </c>
      <c r="D19" s="39" t="s">
        <v>393</v>
      </c>
      <c r="E19" s="5"/>
      <c r="F19" s="40">
        <v>1418</v>
      </c>
      <c r="G19" s="5"/>
      <c r="H19" s="5"/>
      <c r="I19" s="5"/>
      <c r="J19" s="5"/>
      <c r="K19" s="5"/>
    </row>
    <row r="20" spans="1:11" hidden="1">
      <c r="A20" s="65" cm="1">
        <f t="array" ref="A20">IFERROR(INDEX('Master Vendor Data'!A:A, MATCH(TRUE, INDEX(TRIM('Master Vendor Data'!C:C)=TRIM(C20), 0), 0)), "")</f>
        <v>13</v>
      </c>
      <c r="B20" s="5" t="s">
        <v>17</v>
      </c>
      <c r="C20" s="39" t="s">
        <v>42</v>
      </c>
      <c r="D20" s="39" t="s">
        <v>394</v>
      </c>
      <c r="E20" s="5"/>
      <c r="F20" s="40">
        <v>1122.05</v>
      </c>
      <c r="G20" s="5"/>
      <c r="H20" s="5"/>
      <c r="I20" s="5"/>
      <c r="J20" s="5"/>
      <c r="K20" s="5"/>
    </row>
    <row r="21" spans="1:11" hidden="1">
      <c r="A21" s="65" cm="1">
        <f t="array" ref="A21">IFERROR(INDEX('Master Vendor Data'!A:A, MATCH(TRUE, INDEX(TRIM('Master Vendor Data'!C:C)=TRIM(C21), 0), 0)), "")</f>
        <v>5</v>
      </c>
      <c r="B21" s="5" t="s">
        <v>17</v>
      </c>
      <c r="C21" s="39" t="s">
        <v>27</v>
      </c>
      <c r="D21" s="39" t="s">
        <v>395</v>
      </c>
      <c r="E21" s="5"/>
      <c r="F21" s="40">
        <v>1</v>
      </c>
      <c r="G21" s="5"/>
      <c r="H21" s="5"/>
      <c r="I21" s="5"/>
      <c r="J21" s="5"/>
      <c r="K21" s="5"/>
    </row>
    <row r="22" spans="1:11" hidden="1">
      <c r="A22" s="65" cm="1">
        <f t="array" ref="A22">IFERROR(INDEX('Master Vendor Data'!A:A, MATCH(TRUE, INDEX(TRIM('Master Vendor Data'!C:C)=TRIM(C22), 0), 0)), "")</f>
        <v>1</v>
      </c>
      <c r="B22" s="5" t="s">
        <v>17</v>
      </c>
      <c r="C22" s="39" t="s">
        <v>18</v>
      </c>
      <c r="D22" s="39" t="s">
        <v>396</v>
      </c>
      <c r="E22" s="5"/>
      <c r="F22" s="40">
        <v>354.3</v>
      </c>
      <c r="G22" s="5"/>
      <c r="H22" s="5"/>
      <c r="I22" s="5"/>
      <c r="J22" s="5"/>
      <c r="K22" s="5"/>
    </row>
    <row r="23" spans="1:11" hidden="1">
      <c r="A23" s="65" cm="1">
        <f t="array" ref="A23">IFERROR(INDEX('Master Vendor Data'!A:A, MATCH(TRUE, INDEX(TRIM('Master Vendor Data'!C:C)=TRIM(C23), 0), 0)), "")</f>
        <v>85</v>
      </c>
      <c r="B23" s="67" t="s">
        <v>17</v>
      </c>
      <c r="C23" s="68" t="s">
        <v>191</v>
      </c>
      <c r="D23" s="68" t="s">
        <v>396</v>
      </c>
      <c r="E23" s="67"/>
      <c r="F23" s="69">
        <v>1087.9000000000001</v>
      </c>
      <c r="G23" s="5"/>
      <c r="H23" s="5"/>
      <c r="I23" s="5"/>
      <c r="J23" s="5"/>
      <c r="K23" s="5"/>
    </row>
    <row r="24" spans="1:11" hidden="1">
      <c r="A24" s="65" cm="1">
        <f t="array" ref="A24">IFERROR(INDEX('Master Vendor Data'!A:A, MATCH(TRUE, INDEX(TRIM('Master Vendor Data'!C:C)=TRIM(C24), 0), 0)), "")</f>
        <v>85</v>
      </c>
      <c r="B24" s="67" t="s">
        <v>17</v>
      </c>
      <c r="C24" s="68" t="s">
        <v>191</v>
      </c>
      <c r="D24" s="68" t="s">
        <v>396</v>
      </c>
      <c r="E24" s="67"/>
      <c r="F24" s="69">
        <v>5.75</v>
      </c>
      <c r="G24" s="5"/>
      <c r="H24" s="5"/>
      <c r="I24" s="5"/>
      <c r="J24" s="5"/>
      <c r="K24" s="5"/>
    </row>
    <row r="25" spans="1:11" hidden="1">
      <c r="A25" s="65" cm="1">
        <f t="array" ref="A25">IFERROR(INDEX('Master Vendor Data'!A:A, MATCH(TRUE, INDEX(TRIM('Master Vendor Data'!C:C)=TRIM(C25), 0), 0)), "")</f>
        <v>21</v>
      </c>
      <c r="B25" s="5" t="s">
        <v>17</v>
      </c>
      <c r="C25" s="39" t="s">
        <v>59</v>
      </c>
      <c r="D25" s="39" t="s">
        <v>397</v>
      </c>
      <c r="E25" s="5"/>
      <c r="F25" s="40">
        <v>6.35</v>
      </c>
      <c r="G25" s="5"/>
      <c r="H25" s="5"/>
      <c r="I25" s="5"/>
      <c r="J25" s="5"/>
      <c r="K25" s="5"/>
    </row>
    <row r="26" spans="1:11" hidden="1">
      <c r="A26" s="65" cm="1">
        <f t="array" ref="A26">IFERROR(INDEX('Master Vendor Data'!A:A, MATCH(TRUE, INDEX(TRIM('Master Vendor Data'!C:C)=TRIM(C26), 0), 0)), "")</f>
        <v>1</v>
      </c>
      <c r="B26" s="5" t="s">
        <v>17</v>
      </c>
      <c r="C26" s="39" t="s">
        <v>18</v>
      </c>
      <c r="D26" s="39" t="s">
        <v>398</v>
      </c>
      <c r="E26" s="5"/>
      <c r="F26" s="40">
        <v>67.5</v>
      </c>
      <c r="G26" s="5"/>
      <c r="H26" s="5"/>
      <c r="I26" s="5"/>
      <c r="J26" s="5"/>
      <c r="K26" s="5"/>
    </row>
    <row r="27" spans="1:11" hidden="1">
      <c r="A27" s="65" cm="1">
        <f t="array" ref="A27">IFERROR(INDEX('Master Vendor Data'!A:A, MATCH(TRUE, INDEX(TRIM('Master Vendor Data'!C:C)=TRIM(C27), 0), 0)), "")</f>
        <v>86</v>
      </c>
      <c r="B27" s="5" t="s">
        <v>17</v>
      </c>
      <c r="C27" s="39" t="s">
        <v>192</v>
      </c>
      <c r="D27" s="39" t="s">
        <v>399</v>
      </c>
      <c r="E27" s="5"/>
      <c r="F27" s="40">
        <v>1171.2249999999999</v>
      </c>
      <c r="G27" s="5"/>
      <c r="H27" s="5"/>
      <c r="I27" s="5"/>
      <c r="J27" s="5"/>
      <c r="K27" s="5"/>
    </row>
    <row r="28" spans="1:11" hidden="1">
      <c r="A28" s="65" cm="1">
        <f t="array" ref="A28">IFERROR(INDEX('Master Vendor Data'!A:A, MATCH(TRUE, INDEX(TRIM('Master Vendor Data'!C:C)=TRIM(C28), 0), 0)), "")</f>
        <v>6</v>
      </c>
      <c r="B28" s="5" t="s">
        <v>17</v>
      </c>
      <c r="C28" s="39" t="s">
        <v>28</v>
      </c>
      <c r="D28" s="39" t="s">
        <v>399</v>
      </c>
      <c r="E28" s="5"/>
      <c r="F28" s="40">
        <v>308</v>
      </c>
      <c r="G28" s="5"/>
      <c r="H28" s="5"/>
      <c r="I28" s="5"/>
      <c r="J28" s="5"/>
      <c r="K28" s="5"/>
    </row>
    <row r="29" spans="1:11" hidden="1">
      <c r="A29" s="65" cm="1">
        <f t="array" ref="A29">IFERROR(INDEX('Master Vendor Data'!A:A, MATCH(TRUE, INDEX(TRIM('Master Vendor Data'!C:C)=TRIM(C29), 0), 0)), "")</f>
        <v>87</v>
      </c>
      <c r="B29" s="5" t="s">
        <v>17</v>
      </c>
      <c r="C29" s="39" t="s">
        <v>193</v>
      </c>
      <c r="D29" s="39" t="s">
        <v>399</v>
      </c>
      <c r="E29" s="5"/>
      <c r="F29" s="40">
        <v>649.75</v>
      </c>
      <c r="G29" s="5"/>
      <c r="H29" s="5"/>
      <c r="I29" s="5"/>
      <c r="J29" s="5"/>
      <c r="K29" s="5"/>
    </row>
    <row r="30" spans="1:11" hidden="1">
      <c r="A30" s="65" cm="1">
        <f t="array" ref="A30">IFERROR(INDEX('Master Vendor Data'!A:A, MATCH(TRUE, INDEX(TRIM('Master Vendor Data'!C:C)=TRIM(C30), 0), 0)), "")</f>
        <v>5</v>
      </c>
      <c r="B30" s="5" t="s">
        <v>17</v>
      </c>
      <c r="C30" s="70" t="s">
        <v>27</v>
      </c>
      <c r="D30" s="39" t="s">
        <v>399</v>
      </c>
      <c r="E30" s="5"/>
      <c r="F30" s="40">
        <v>880.7</v>
      </c>
      <c r="G30" s="5"/>
      <c r="H30" s="5"/>
      <c r="I30" s="5"/>
      <c r="J30" s="5"/>
      <c r="K30" s="5"/>
    </row>
    <row r="31" spans="1:11" hidden="1">
      <c r="A31" s="65" cm="1">
        <f t="array" ref="A31">IFERROR(INDEX('Master Vendor Data'!A:A, MATCH(TRUE, INDEX(TRIM('Master Vendor Data'!C:C)=TRIM(C31), 0), 0)), "")</f>
        <v>12</v>
      </c>
      <c r="B31" s="5" t="s">
        <v>17</v>
      </c>
      <c r="C31" s="39" t="s">
        <v>40</v>
      </c>
      <c r="D31" s="39" t="s">
        <v>400</v>
      </c>
      <c r="E31" s="5"/>
      <c r="F31" s="40">
        <v>203</v>
      </c>
      <c r="G31" s="5"/>
      <c r="H31" s="5"/>
      <c r="I31" s="5"/>
      <c r="J31" s="5"/>
      <c r="K31" s="5"/>
    </row>
    <row r="32" spans="1:11" hidden="1">
      <c r="A32" s="65" cm="1">
        <f t="array" ref="A32">IFERROR(INDEX('Master Vendor Data'!A:A, MATCH(TRUE, INDEX(TRIM('Master Vendor Data'!C:C)=TRIM(C32), 0), 0)), "")</f>
        <v>10</v>
      </c>
      <c r="B32" s="5" t="s">
        <v>17</v>
      </c>
      <c r="C32" s="39" t="s">
        <v>36</v>
      </c>
      <c r="D32" s="39" t="s">
        <v>401</v>
      </c>
      <c r="E32" s="5"/>
      <c r="F32" s="40">
        <v>72.5</v>
      </c>
      <c r="G32" s="5"/>
      <c r="H32" s="5"/>
      <c r="I32" s="5"/>
      <c r="J32" s="5"/>
      <c r="K32" s="5"/>
    </row>
    <row r="33" spans="1:11" hidden="1">
      <c r="A33" s="65" cm="1">
        <f t="array" ref="A33">IFERROR(INDEX('Master Vendor Data'!A:A, MATCH(TRUE, INDEX(TRIM('Master Vendor Data'!C:C)=TRIM(C33), 0), 0)), "")</f>
        <v>88</v>
      </c>
      <c r="B33" s="5" t="s">
        <v>17</v>
      </c>
      <c r="C33" s="39" t="s">
        <v>194</v>
      </c>
      <c r="D33" s="39" t="s">
        <v>402</v>
      </c>
      <c r="E33" s="5"/>
      <c r="F33" s="40">
        <v>21</v>
      </c>
      <c r="G33" s="5"/>
      <c r="H33" s="5"/>
      <c r="I33" s="5"/>
      <c r="J33" s="5"/>
      <c r="K33" s="5"/>
    </row>
    <row r="34" spans="1:11" hidden="1">
      <c r="A34" s="65" cm="1">
        <f t="array" ref="A34">IFERROR(INDEX('Master Vendor Data'!A:A, MATCH(TRUE, INDEX(TRIM('Master Vendor Data'!C:C)=TRIM(C34), 0), 0)), "")</f>
        <v>6</v>
      </c>
      <c r="B34" s="5" t="s">
        <v>17</v>
      </c>
      <c r="C34" s="39" t="s">
        <v>28</v>
      </c>
      <c r="D34" s="39" t="s">
        <v>403</v>
      </c>
      <c r="E34" s="5"/>
      <c r="F34" s="40">
        <v>1535.55</v>
      </c>
      <c r="G34" s="5"/>
      <c r="H34" s="5"/>
      <c r="I34" s="5"/>
      <c r="J34" s="5"/>
      <c r="K34" s="5"/>
    </row>
    <row r="35" spans="1:11" hidden="1">
      <c r="A35" s="65" cm="1">
        <f t="array" ref="A35">IFERROR(INDEX('Master Vendor Data'!A:A, MATCH(TRUE, INDEX(TRIM('Master Vendor Data'!C:C)=TRIM(C35), 0), 0)), "")</f>
        <v>18</v>
      </c>
      <c r="B35" s="5" t="s">
        <v>17</v>
      </c>
      <c r="C35" s="39" t="s">
        <v>50</v>
      </c>
      <c r="D35" s="39" t="s">
        <v>404</v>
      </c>
      <c r="E35" s="5"/>
      <c r="F35" s="40">
        <v>1474.65</v>
      </c>
      <c r="G35" s="5"/>
      <c r="H35" s="5"/>
      <c r="I35" s="5"/>
      <c r="J35" s="5"/>
      <c r="K35" s="5"/>
    </row>
    <row r="36" spans="1:11" hidden="1">
      <c r="A36" s="65" cm="1">
        <f t="array" ref="A36">IFERROR(INDEX('Master Vendor Data'!A:A, MATCH(TRUE, INDEX(TRIM('Master Vendor Data'!C:C)=TRIM(C36), 0), 0)), "")</f>
        <v>6</v>
      </c>
      <c r="B36" s="5" t="s">
        <v>17</v>
      </c>
      <c r="C36" s="39" t="s">
        <v>28</v>
      </c>
      <c r="D36" s="39" t="s">
        <v>405</v>
      </c>
      <c r="E36" s="5"/>
      <c r="F36" s="40">
        <v>12.5</v>
      </c>
      <c r="G36" s="5"/>
      <c r="H36" s="5"/>
      <c r="I36" s="5"/>
      <c r="J36" s="5"/>
      <c r="K36" s="5"/>
    </row>
    <row r="37" spans="1:11" hidden="1">
      <c r="A37" s="65" cm="1">
        <f t="array" ref="A37">IFERROR(INDEX('Master Vendor Data'!A:A, MATCH(TRUE, INDEX(TRIM('Master Vendor Data'!C:C)=TRIM(C37), 0), 0)), "")</f>
        <v>89</v>
      </c>
      <c r="B37" s="5" t="s">
        <v>17</v>
      </c>
      <c r="C37" s="39" t="s">
        <v>195</v>
      </c>
      <c r="D37" s="39" t="s">
        <v>405</v>
      </c>
      <c r="E37" s="5"/>
      <c r="F37" s="40">
        <v>76.849999999999994</v>
      </c>
      <c r="G37" s="5"/>
      <c r="H37" s="5"/>
      <c r="I37" s="5"/>
      <c r="J37" s="5"/>
      <c r="K37" s="5"/>
    </row>
    <row r="38" spans="1:11" hidden="1">
      <c r="A38" s="65" cm="1">
        <f t="array" ref="A38">IFERROR(INDEX('Master Vendor Data'!A:A, MATCH(TRUE, INDEX(TRIM('Master Vendor Data'!C:C)=TRIM(C38), 0), 0)), "")</f>
        <v>3</v>
      </c>
      <c r="B38" s="5" t="s">
        <v>17</v>
      </c>
      <c r="C38" s="39" t="s">
        <v>24</v>
      </c>
      <c r="D38" s="39" t="s">
        <v>406</v>
      </c>
      <c r="E38" s="5"/>
      <c r="F38" s="40">
        <v>306.75</v>
      </c>
      <c r="G38" s="5"/>
      <c r="H38" s="5"/>
      <c r="I38" s="5"/>
      <c r="J38" s="5"/>
      <c r="K38" s="5"/>
    </row>
    <row r="39" spans="1:11" hidden="1">
      <c r="A39" s="65" cm="1">
        <f t="array" ref="A39">IFERROR(INDEX('Master Vendor Data'!A:A, MATCH(TRUE, INDEX(TRIM('Master Vendor Data'!C:C)=TRIM(C39), 0), 0)), "")</f>
        <v>5</v>
      </c>
      <c r="B39" s="5" t="s">
        <v>17</v>
      </c>
      <c r="C39" s="39" t="s">
        <v>27</v>
      </c>
      <c r="D39" s="39" t="s">
        <v>407</v>
      </c>
      <c r="E39" s="5"/>
      <c r="F39" s="40">
        <v>67</v>
      </c>
      <c r="G39" s="5"/>
      <c r="H39" s="5"/>
      <c r="I39" s="5"/>
      <c r="J39" s="5"/>
      <c r="K39" s="5"/>
    </row>
    <row r="40" spans="1:11" hidden="1">
      <c r="A40" s="65" cm="1">
        <f t="array" ref="A40">IFERROR(INDEX('Master Vendor Data'!A:A, MATCH(TRUE, INDEX(TRIM('Master Vendor Data'!C:C)=TRIM(C40), 0), 0)), "")</f>
        <v>2</v>
      </c>
      <c r="B40" s="5" t="s">
        <v>17</v>
      </c>
      <c r="C40" s="39" t="s">
        <v>22</v>
      </c>
      <c r="D40" s="39" t="s">
        <v>408</v>
      </c>
      <c r="E40" s="5"/>
      <c r="F40" s="40">
        <v>879.5</v>
      </c>
      <c r="G40" s="5"/>
      <c r="H40" s="5"/>
      <c r="I40" s="5"/>
      <c r="J40" s="5"/>
      <c r="K40" s="5"/>
    </row>
    <row r="41" spans="1:11" hidden="1">
      <c r="A41" s="65" cm="1">
        <f t="array" ref="A41">IFERROR(INDEX('Master Vendor Data'!A:A, MATCH(TRUE, INDEX(TRIM('Master Vendor Data'!C:C)=TRIM(C41), 0), 0)), "")</f>
        <v>4</v>
      </c>
      <c r="B41" s="5" t="s">
        <v>17</v>
      </c>
      <c r="C41" s="39" t="s">
        <v>26</v>
      </c>
      <c r="D41" s="39" t="s">
        <v>408</v>
      </c>
      <c r="E41" s="5"/>
      <c r="F41" s="40">
        <v>429.5</v>
      </c>
      <c r="G41" s="5"/>
      <c r="H41" s="5"/>
      <c r="I41" s="5"/>
      <c r="J41" s="5"/>
      <c r="K41" s="5"/>
    </row>
    <row r="42" spans="1:11" hidden="1">
      <c r="A42" s="65" cm="1">
        <f t="array" ref="A42">IFERROR(INDEX('Master Vendor Data'!A:A, MATCH(TRUE, INDEX(TRIM('Master Vendor Data'!C:C)=TRIM(C42), 0), 0)), "")</f>
        <v>3</v>
      </c>
      <c r="B42" s="5" t="s">
        <v>17</v>
      </c>
      <c r="C42" s="39" t="s">
        <v>24</v>
      </c>
      <c r="D42" s="39" t="s">
        <v>409</v>
      </c>
      <c r="E42" s="5"/>
      <c r="F42" s="40">
        <v>68.5</v>
      </c>
      <c r="G42" s="5"/>
      <c r="H42" s="5"/>
      <c r="I42" s="5"/>
      <c r="J42" s="5"/>
      <c r="K42" s="5"/>
    </row>
    <row r="43" spans="1:11" hidden="1">
      <c r="A43" s="65" cm="1">
        <f t="array" ref="A43">IFERROR(INDEX('Master Vendor Data'!A:A, MATCH(TRUE, INDEX(TRIM('Master Vendor Data'!C:C)=TRIM(C43), 0), 0)), "")</f>
        <v>90</v>
      </c>
      <c r="B43" s="71" t="s">
        <v>17</v>
      </c>
      <c r="C43" s="72" t="s">
        <v>196</v>
      </c>
      <c r="D43" s="72" t="s">
        <v>410</v>
      </c>
      <c r="E43" s="71"/>
      <c r="F43" s="52">
        <v>29.45</v>
      </c>
      <c r="G43" s="5"/>
      <c r="H43" s="5"/>
      <c r="I43" s="5"/>
      <c r="J43" s="5"/>
      <c r="K43" s="5"/>
    </row>
    <row r="44" spans="1:11" hidden="1">
      <c r="A44" s="65" cm="1">
        <f t="array" ref="A44">IFERROR(INDEX('Master Vendor Data'!A:A, MATCH(TRUE, INDEX(TRIM('Master Vendor Data'!C:C)=TRIM(C44), 0), 0)), "")</f>
        <v>16</v>
      </c>
      <c r="B44" s="5" t="s">
        <v>17</v>
      </c>
      <c r="C44" s="39" t="s">
        <v>47</v>
      </c>
      <c r="D44" s="39" t="s">
        <v>410</v>
      </c>
      <c r="E44" s="5"/>
      <c r="F44" s="40">
        <v>137.5</v>
      </c>
      <c r="G44" s="5"/>
      <c r="H44" s="5"/>
      <c r="I44" s="5"/>
      <c r="J44" s="5"/>
      <c r="K44" s="5"/>
    </row>
    <row r="45" spans="1:11" hidden="1">
      <c r="A45" s="65" cm="1">
        <f t="array" ref="A45">IFERROR(INDEX('Master Vendor Data'!A:A, MATCH(TRUE, INDEX(TRIM('Master Vendor Data'!C:C)=TRIM(C45), 0), 0)), "")</f>
        <v>6</v>
      </c>
      <c r="B45" s="5" t="s">
        <v>17</v>
      </c>
      <c r="C45" s="39" t="s">
        <v>28</v>
      </c>
      <c r="D45" s="39" t="s">
        <v>410</v>
      </c>
      <c r="E45" s="5"/>
      <c r="F45" s="40">
        <v>68.5</v>
      </c>
      <c r="G45" s="5"/>
      <c r="H45" s="5"/>
      <c r="I45" s="5"/>
      <c r="J45" s="5"/>
      <c r="K45" s="5"/>
    </row>
    <row r="46" spans="1:11" hidden="1">
      <c r="A46" s="65" cm="1">
        <f t="array" ref="A46">IFERROR(INDEX('Master Vendor Data'!A:A, MATCH(TRUE, INDEX(TRIM('Master Vendor Data'!C:C)=TRIM(C46), 0), 0)), "")</f>
        <v>91</v>
      </c>
      <c r="B46" s="5" t="s">
        <v>17</v>
      </c>
      <c r="C46" s="39" t="s">
        <v>197</v>
      </c>
      <c r="D46" s="39" t="s">
        <v>410</v>
      </c>
      <c r="E46" s="5"/>
      <c r="F46" s="40">
        <v>87.5</v>
      </c>
      <c r="G46" s="5"/>
      <c r="H46" s="5"/>
      <c r="I46" s="5"/>
      <c r="J46" s="5"/>
      <c r="K46" s="5"/>
    </row>
    <row r="47" spans="1:11" hidden="1">
      <c r="A47" s="65" cm="1">
        <f t="array" ref="A47">IFERROR(INDEX('Master Vendor Data'!A:A, MATCH(TRUE, INDEX(TRIM('Master Vendor Data'!C:C)=TRIM(C47), 0), 0)), "")</f>
        <v>10</v>
      </c>
      <c r="B47" s="5" t="s">
        <v>17</v>
      </c>
      <c r="C47" s="39" t="s">
        <v>36</v>
      </c>
      <c r="D47" s="39" t="s">
        <v>411</v>
      </c>
      <c r="E47" s="5"/>
      <c r="F47" s="40">
        <v>251.45</v>
      </c>
      <c r="G47" s="5"/>
      <c r="H47" s="5"/>
      <c r="I47" s="5"/>
      <c r="J47" s="5"/>
      <c r="K47" s="5"/>
    </row>
    <row r="48" spans="1:11" hidden="1">
      <c r="A48" s="65" cm="1">
        <f t="array" ref="A48">IFERROR(INDEX('Master Vendor Data'!A:A, MATCH(TRUE, INDEX(TRIM('Master Vendor Data'!C:C)=TRIM(C48), 0), 0)), "")</f>
        <v>5</v>
      </c>
      <c r="B48" s="5" t="s">
        <v>17</v>
      </c>
      <c r="C48" s="39" t="s">
        <v>27</v>
      </c>
      <c r="D48" s="39" t="s">
        <v>412</v>
      </c>
      <c r="E48" s="5"/>
      <c r="F48" s="40">
        <v>99.45</v>
      </c>
      <c r="G48" s="5"/>
      <c r="H48" s="5"/>
      <c r="I48" s="5"/>
      <c r="J48" s="5"/>
      <c r="K48" s="5"/>
    </row>
    <row r="49" spans="1:11" hidden="1">
      <c r="A49" s="65" cm="1">
        <f t="array" ref="A49">IFERROR(INDEX('Master Vendor Data'!A:A, MATCH(TRUE, INDEX(TRIM('Master Vendor Data'!C:C)=TRIM(C49), 0), 0)), "")</f>
        <v>92</v>
      </c>
      <c r="B49" s="5" t="s">
        <v>17</v>
      </c>
      <c r="C49" s="39" t="s">
        <v>198</v>
      </c>
      <c r="D49" s="39" t="s">
        <v>413</v>
      </c>
      <c r="E49" s="5"/>
      <c r="F49" s="40">
        <v>195</v>
      </c>
      <c r="G49" s="5"/>
      <c r="H49" s="5"/>
      <c r="I49" s="5"/>
      <c r="J49" s="5"/>
      <c r="K49" s="5"/>
    </row>
    <row r="50" spans="1:11" hidden="1">
      <c r="A50" s="65" cm="1">
        <f t="array" ref="A50">IFERROR(INDEX('Master Vendor Data'!A:A, MATCH(TRUE, INDEX(TRIM('Master Vendor Data'!C:C)=TRIM(C50), 0), 0)), "")</f>
        <v>9</v>
      </c>
      <c r="B50" s="5" t="s">
        <v>17</v>
      </c>
      <c r="C50" s="39" t="s">
        <v>33</v>
      </c>
      <c r="D50" s="39" t="s">
        <v>413</v>
      </c>
      <c r="E50" s="5"/>
      <c r="F50" s="40">
        <v>373.5</v>
      </c>
      <c r="G50" s="5"/>
      <c r="H50" s="5"/>
      <c r="I50" s="5"/>
      <c r="J50" s="5"/>
      <c r="K50" s="5"/>
    </row>
    <row r="51" spans="1:11" hidden="1">
      <c r="A51" s="65" cm="1">
        <f t="array" ref="A51">IFERROR(INDEX('Master Vendor Data'!A:A, MATCH(TRUE, INDEX(TRIM('Master Vendor Data'!C:C)=TRIM(C51), 0), 0)), "")</f>
        <v>5</v>
      </c>
      <c r="B51" s="5" t="s">
        <v>17</v>
      </c>
      <c r="C51" s="39" t="s">
        <v>27</v>
      </c>
      <c r="D51" s="39" t="s">
        <v>414</v>
      </c>
      <c r="E51" s="5"/>
      <c r="F51" s="40">
        <v>378</v>
      </c>
      <c r="G51" s="5"/>
      <c r="H51" s="5"/>
      <c r="I51" s="5"/>
      <c r="J51" s="5"/>
      <c r="K51" s="5"/>
    </row>
    <row r="52" spans="1:11" hidden="1">
      <c r="A52" s="65" cm="1">
        <f t="array" ref="A52">IFERROR(INDEX('Master Vendor Data'!A:A, MATCH(TRUE, INDEX(TRIM('Master Vendor Data'!C:C)=TRIM(C52), 0), 0)), "")</f>
        <v>6</v>
      </c>
      <c r="B52" s="5" t="s">
        <v>17</v>
      </c>
      <c r="C52" s="39" t="s">
        <v>28</v>
      </c>
      <c r="D52" s="39" t="s">
        <v>414</v>
      </c>
      <c r="E52" s="5"/>
      <c r="F52" s="40">
        <v>30.35</v>
      </c>
      <c r="G52" s="5"/>
      <c r="H52" s="5"/>
      <c r="I52" s="5"/>
      <c r="J52" s="5"/>
      <c r="K52" s="5"/>
    </row>
    <row r="53" spans="1:11" hidden="1">
      <c r="A53" s="65" cm="1">
        <f t="array" ref="A53">IFERROR(INDEX('Master Vendor Data'!A:A, MATCH(TRUE, INDEX(TRIM('Master Vendor Data'!C:C)=TRIM(C53), 0), 0)), "")</f>
        <v>3</v>
      </c>
      <c r="B53" s="5" t="s">
        <v>17</v>
      </c>
      <c r="C53" s="70" t="s">
        <v>24</v>
      </c>
      <c r="D53" s="39" t="s">
        <v>415</v>
      </c>
      <c r="E53" s="5"/>
      <c r="F53" s="40">
        <v>106.5</v>
      </c>
      <c r="G53" s="5"/>
      <c r="H53" s="5"/>
      <c r="I53" s="5"/>
      <c r="J53" s="5"/>
      <c r="K53" s="5"/>
    </row>
    <row r="54" spans="1:11" hidden="1">
      <c r="A54" s="65" cm="1">
        <f t="array" ref="A54">IFERROR(INDEX('Master Vendor Data'!A:A, MATCH(TRUE, INDEX(TRIM('Master Vendor Data'!C:C)=TRIM(C54), 0), 0)), "")</f>
        <v>9</v>
      </c>
      <c r="B54" s="5" t="s">
        <v>17</v>
      </c>
      <c r="C54" s="39" t="s">
        <v>33</v>
      </c>
      <c r="D54" s="39" t="s">
        <v>416</v>
      </c>
      <c r="E54" s="5"/>
      <c r="F54" s="40">
        <v>139.55000000000001</v>
      </c>
      <c r="G54" s="5"/>
      <c r="H54" s="5"/>
      <c r="I54" s="5"/>
      <c r="J54" s="5"/>
      <c r="K54" s="5"/>
    </row>
    <row r="55" spans="1:11" hidden="1">
      <c r="A55" s="65" cm="1">
        <f t="array" ref="A55">IFERROR(INDEX('Master Vendor Data'!A:A, MATCH(TRUE, INDEX(TRIM('Master Vendor Data'!C:C)=TRIM(C55), 0), 0)), "")</f>
        <v>93</v>
      </c>
      <c r="B55" s="5" t="s">
        <v>17</v>
      </c>
      <c r="C55" s="39" t="s">
        <v>199</v>
      </c>
      <c r="D55" s="39" t="s">
        <v>417</v>
      </c>
      <c r="E55" s="5"/>
      <c r="F55" s="40">
        <v>104.2</v>
      </c>
      <c r="G55" s="5"/>
      <c r="H55" s="5"/>
      <c r="I55" s="5"/>
      <c r="J55" s="5"/>
      <c r="K55" s="5"/>
    </row>
    <row r="56" spans="1:11" hidden="1">
      <c r="A56" s="65" cm="1">
        <f t="array" ref="A56">IFERROR(INDEX('Master Vendor Data'!A:A, MATCH(TRUE, INDEX(TRIM('Master Vendor Data'!C:C)=TRIM(C56), 0), 0)), "")</f>
        <v>6</v>
      </c>
      <c r="B56" s="5" t="s">
        <v>17</v>
      </c>
      <c r="C56" s="39" t="s">
        <v>28</v>
      </c>
      <c r="D56" s="39" t="s">
        <v>418</v>
      </c>
      <c r="E56" s="5"/>
      <c r="F56" s="40">
        <v>388.2</v>
      </c>
      <c r="G56" s="5"/>
      <c r="H56" s="5"/>
      <c r="I56" s="5"/>
      <c r="J56" s="5"/>
      <c r="K56" s="5"/>
    </row>
    <row r="57" spans="1:11" hidden="1">
      <c r="A57" s="65" cm="1">
        <f t="array" ref="A57">IFERROR(INDEX('Master Vendor Data'!A:A, MATCH(TRUE, INDEX(TRIM('Master Vendor Data'!C:C)=TRIM(C57), 0), 0)), "")</f>
        <v>15</v>
      </c>
      <c r="B57" s="5" t="s">
        <v>17</v>
      </c>
      <c r="C57" s="70" t="s">
        <v>45</v>
      </c>
      <c r="D57" s="39" t="s">
        <v>418</v>
      </c>
      <c r="E57" s="5"/>
      <c r="F57" s="40">
        <v>394.75</v>
      </c>
      <c r="G57" s="5"/>
      <c r="H57" s="5"/>
      <c r="I57" s="5"/>
      <c r="J57" s="5"/>
      <c r="K57" s="5"/>
    </row>
    <row r="58" spans="1:11" hidden="1">
      <c r="A58" s="65" cm="1">
        <f t="array" ref="A58">IFERROR(INDEX('Master Vendor Data'!A:A, MATCH(TRUE, INDEX(TRIM('Master Vendor Data'!C:C)=TRIM(C58), 0), 0)), "")</f>
        <v>4</v>
      </c>
      <c r="B58" s="5" t="s">
        <v>17</v>
      </c>
      <c r="C58" s="39" t="s">
        <v>26</v>
      </c>
      <c r="D58" s="39" t="s">
        <v>418</v>
      </c>
      <c r="E58" s="5"/>
      <c r="F58" s="40">
        <v>462</v>
      </c>
      <c r="G58" s="5"/>
      <c r="H58" s="5"/>
      <c r="I58" s="5"/>
      <c r="J58" s="5"/>
      <c r="K58" s="5"/>
    </row>
    <row r="59" spans="1:11" hidden="1">
      <c r="A59" s="65" cm="1">
        <f t="array" ref="A59">IFERROR(INDEX('Master Vendor Data'!A:A, MATCH(TRUE, INDEX(TRIM('Master Vendor Data'!C:C)=TRIM(C59), 0), 0)), "")</f>
        <v>9</v>
      </c>
      <c r="B59" s="5" t="s">
        <v>17</v>
      </c>
      <c r="C59" s="39" t="s">
        <v>33</v>
      </c>
      <c r="D59" s="39" t="s">
        <v>419</v>
      </c>
      <c r="E59" s="5"/>
      <c r="F59" s="40">
        <v>689.8</v>
      </c>
      <c r="G59" s="5"/>
      <c r="H59" s="5"/>
      <c r="I59" s="5"/>
      <c r="J59" s="5"/>
      <c r="K59" s="5"/>
    </row>
    <row r="60" spans="1:11" hidden="1">
      <c r="A60" s="65" cm="1">
        <f t="array" ref="A60">IFERROR(INDEX('Master Vendor Data'!A:A, MATCH(TRUE, INDEX(TRIM('Master Vendor Data'!C:C)=TRIM(C60), 0), 0)), "")</f>
        <v>94</v>
      </c>
      <c r="B60" s="5" t="s">
        <v>17</v>
      </c>
      <c r="C60" s="39" t="s">
        <v>200</v>
      </c>
      <c r="D60" s="39" t="s">
        <v>420</v>
      </c>
      <c r="E60" s="5"/>
      <c r="F60" s="40">
        <v>3300.7</v>
      </c>
      <c r="G60" s="5"/>
      <c r="H60" s="5"/>
      <c r="I60" s="5"/>
      <c r="J60" s="5"/>
      <c r="K60" s="5"/>
    </row>
    <row r="61" spans="1:11" hidden="1">
      <c r="A61" s="65" cm="1">
        <f t="array" ref="A61">IFERROR(INDEX('Master Vendor Data'!A:A, MATCH(TRUE, INDEX(TRIM('Master Vendor Data'!C:C)=TRIM(C61), 0), 0)), "")</f>
        <v>6</v>
      </c>
      <c r="B61" s="5" t="s">
        <v>17</v>
      </c>
      <c r="C61" s="39" t="s">
        <v>28</v>
      </c>
      <c r="D61" s="39" t="s">
        <v>420</v>
      </c>
      <c r="E61" s="5"/>
      <c r="F61" s="40">
        <v>1507.5</v>
      </c>
      <c r="G61" s="5"/>
      <c r="H61" s="5"/>
      <c r="I61" s="5"/>
      <c r="J61" s="5"/>
      <c r="K61" s="5"/>
    </row>
    <row r="62" spans="1:11" hidden="1">
      <c r="A62" s="65" cm="1">
        <f t="array" ref="A62">IFERROR(INDEX('Master Vendor Data'!A:A, MATCH(TRUE, INDEX(TRIM('Master Vendor Data'!C:C)=TRIM(C62), 0), 0)), "")</f>
        <v>8</v>
      </c>
      <c r="B62" s="5" t="s">
        <v>17</v>
      </c>
      <c r="C62" s="39" t="s">
        <v>31</v>
      </c>
      <c r="D62" s="39" t="s">
        <v>421</v>
      </c>
      <c r="E62" s="5"/>
      <c r="F62" s="40">
        <v>32.35</v>
      </c>
      <c r="G62" s="5"/>
      <c r="H62" s="5"/>
      <c r="I62" s="5"/>
      <c r="J62" s="5"/>
      <c r="K62" s="5"/>
    </row>
    <row r="63" spans="1:11" hidden="1">
      <c r="A63" s="65" cm="1">
        <f t="array" ref="A63">IFERROR(INDEX('Master Vendor Data'!A:A, MATCH(TRUE, INDEX(TRIM('Master Vendor Data'!C:C)=TRIM(C63), 0), 0)), "")</f>
        <v>7</v>
      </c>
      <c r="B63" s="5" t="s">
        <v>17</v>
      </c>
      <c r="C63" s="39" t="s">
        <v>30</v>
      </c>
      <c r="D63" s="39" t="s">
        <v>421</v>
      </c>
      <c r="E63" s="5"/>
      <c r="F63" s="40">
        <v>39.9</v>
      </c>
      <c r="G63" s="5"/>
      <c r="H63" s="5"/>
      <c r="I63" s="5"/>
      <c r="J63" s="5"/>
      <c r="K63" s="5"/>
    </row>
    <row r="64" spans="1:11" hidden="1">
      <c r="A64" s="65" cm="1">
        <f t="array" ref="A64">IFERROR(INDEX('Master Vendor Data'!A:A, MATCH(TRUE, INDEX(TRIM('Master Vendor Data'!C:C)=TRIM(C64), 0), 0)), "")</f>
        <v>15</v>
      </c>
      <c r="B64" s="5" t="s">
        <v>17</v>
      </c>
      <c r="C64" s="39" t="s">
        <v>45</v>
      </c>
      <c r="D64" s="39" t="s">
        <v>421</v>
      </c>
      <c r="E64" s="5"/>
      <c r="F64" s="40">
        <v>45.45</v>
      </c>
      <c r="G64" s="5"/>
      <c r="H64" s="5"/>
      <c r="I64" s="5"/>
      <c r="J64" s="5"/>
      <c r="K64" s="5"/>
    </row>
    <row r="65" spans="1:11" hidden="1">
      <c r="A65" s="65" cm="1">
        <f t="array" ref="A65">IFERROR(INDEX('Master Vendor Data'!A:A, MATCH(TRUE, INDEX(TRIM('Master Vendor Data'!C:C)=TRIM(C65), 0), 0)), "")</f>
        <v>12</v>
      </c>
      <c r="B65" s="5" t="s">
        <v>17</v>
      </c>
      <c r="C65" s="39" t="s">
        <v>40</v>
      </c>
      <c r="D65" s="39" t="s">
        <v>422</v>
      </c>
      <c r="E65" s="5"/>
      <c r="F65" s="40">
        <v>111.95</v>
      </c>
      <c r="G65" s="5"/>
      <c r="H65" s="5"/>
      <c r="I65" s="5"/>
      <c r="J65" s="5"/>
      <c r="K65" s="5"/>
    </row>
    <row r="66" spans="1:11" hidden="1">
      <c r="A66" s="65" cm="1">
        <f t="array" ref="A66">IFERROR(INDEX('Master Vendor Data'!A:A, MATCH(TRUE, INDEX(TRIM('Master Vendor Data'!C:C)=TRIM(C66), 0), 0)), "")</f>
        <v>95</v>
      </c>
      <c r="B66" s="5" t="s">
        <v>17</v>
      </c>
      <c r="C66" s="39" t="s">
        <v>201</v>
      </c>
      <c r="D66" s="39" t="s">
        <v>422</v>
      </c>
      <c r="E66" s="5"/>
      <c r="F66" s="40">
        <v>5.65</v>
      </c>
      <c r="G66" s="5"/>
      <c r="H66" s="5"/>
      <c r="I66" s="5"/>
      <c r="J66" s="5"/>
      <c r="K66" s="5"/>
    </row>
    <row r="67" spans="1:11" hidden="1">
      <c r="A67" s="65" cm="1">
        <f t="array" ref="A67">IFERROR(INDEX('Master Vendor Data'!A:A, MATCH(TRUE, INDEX(TRIM('Master Vendor Data'!C:C)=TRIM(C67), 0), 0)), "")</f>
        <v>6</v>
      </c>
      <c r="B67" s="5" t="s">
        <v>17</v>
      </c>
      <c r="C67" s="39" t="s">
        <v>28</v>
      </c>
      <c r="D67" s="39" t="s">
        <v>423</v>
      </c>
      <c r="E67" s="5"/>
      <c r="F67" s="40">
        <v>443.65</v>
      </c>
      <c r="G67" s="5"/>
      <c r="H67" s="5"/>
      <c r="I67" s="5"/>
      <c r="J67" s="5"/>
      <c r="K67" s="5"/>
    </row>
    <row r="68" spans="1:11" hidden="1">
      <c r="A68" s="65" cm="1">
        <f t="array" ref="A68">IFERROR(INDEX('Master Vendor Data'!A:A, MATCH(TRUE, INDEX(TRIM('Master Vendor Data'!C:C)=TRIM(C68), 0), 0)), "")</f>
        <v>96</v>
      </c>
      <c r="B68" s="67" t="s">
        <v>17</v>
      </c>
      <c r="C68" s="68" t="s">
        <v>202</v>
      </c>
      <c r="D68" s="68" t="s">
        <v>423</v>
      </c>
      <c r="E68" s="67"/>
      <c r="F68" s="69">
        <v>3707.9</v>
      </c>
      <c r="G68" s="5"/>
      <c r="H68" s="5"/>
      <c r="I68" s="5"/>
      <c r="J68" s="5"/>
      <c r="K68" s="5"/>
    </row>
    <row r="69" spans="1:11" hidden="1">
      <c r="A69" s="65" cm="1">
        <f t="array" ref="A69">IFERROR(INDEX('Master Vendor Data'!A:A, MATCH(TRUE, INDEX(TRIM('Master Vendor Data'!C:C)=TRIM(C69), 0), 0)), "")</f>
        <v>8</v>
      </c>
      <c r="B69" s="5" t="s">
        <v>17</v>
      </c>
      <c r="C69" s="39" t="s">
        <v>31</v>
      </c>
      <c r="D69" s="39" t="s">
        <v>423</v>
      </c>
      <c r="E69" s="5"/>
      <c r="F69" s="40">
        <v>729.5</v>
      </c>
      <c r="G69" s="5"/>
      <c r="H69" s="5"/>
      <c r="I69" s="5"/>
      <c r="J69" s="5"/>
      <c r="K69" s="5"/>
    </row>
    <row r="70" spans="1:11" hidden="1">
      <c r="A70" s="65" cm="1">
        <f t="array" ref="A70">IFERROR(INDEX('Master Vendor Data'!A:A, MATCH(TRUE, INDEX(TRIM('Master Vendor Data'!C:C)=TRIM(C70), 0), 0)), "")</f>
        <v>7</v>
      </c>
      <c r="B70" s="5" t="s">
        <v>17</v>
      </c>
      <c r="C70" s="39" t="s">
        <v>30</v>
      </c>
      <c r="D70" s="39" t="s">
        <v>423</v>
      </c>
      <c r="E70" s="5"/>
      <c r="F70" s="40">
        <v>558.9</v>
      </c>
      <c r="G70" s="5"/>
      <c r="H70" s="5"/>
      <c r="I70" s="5"/>
      <c r="J70" s="5"/>
      <c r="K70" s="5"/>
    </row>
    <row r="71" spans="1:11" hidden="1">
      <c r="A71" s="65" cm="1">
        <f t="array" ref="A71">IFERROR(INDEX('Master Vendor Data'!A:A, MATCH(TRUE, INDEX(TRIM('Master Vendor Data'!C:C)=TRIM(C71), 0), 0)), "")</f>
        <v>15</v>
      </c>
      <c r="B71" s="5" t="s">
        <v>17</v>
      </c>
      <c r="C71" s="39" t="s">
        <v>45</v>
      </c>
      <c r="D71" s="39" t="s">
        <v>423</v>
      </c>
      <c r="E71" s="5"/>
      <c r="F71" s="40">
        <v>1581.8</v>
      </c>
      <c r="G71" s="5"/>
      <c r="H71" s="5"/>
      <c r="I71" s="5"/>
      <c r="J71" s="5"/>
      <c r="K71" s="5"/>
    </row>
    <row r="72" spans="1:11" hidden="1">
      <c r="A72" s="65" cm="1">
        <f t="array" ref="A72">IFERROR(INDEX('Master Vendor Data'!A:A, MATCH(TRUE, INDEX(TRIM('Master Vendor Data'!C:C)=TRIM(C72), 0), 0)), "")</f>
        <v>18</v>
      </c>
      <c r="B72" s="5" t="s">
        <v>17</v>
      </c>
      <c r="C72" s="39" t="s">
        <v>50</v>
      </c>
      <c r="D72" s="39" t="s">
        <v>424</v>
      </c>
      <c r="E72" s="5"/>
      <c r="F72" s="40">
        <v>1755.75</v>
      </c>
      <c r="G72" s="5"/>
      <c r="H72" s="5"/>
      <c r="I72" s="5"/>
      <c r="J72" s="5"/>
      <c r="K72" s="5"/>
    </row>
    <row r="73" spans="1:11" hidden="1">
      <c r="A73" s="65" cm="1">
        <f t="array" ref="A73">IFERROR(INDEX('Master Vendor Data'!A:A, MATCH(TRUE, INDEX(TRIM('Master Vendor Data'!C:C)=TRIM(C73), 0), 0)), "")</f>
        <v>85</v>
      </c>
      <c r="B73" s="5" t="s">
        <v>17</v>
      </c>
      <c r="C73" s="39" t="s">
        <v>191</v>
      </c>
      <c r="D73" s="39" t="s">
        <v>424</v>
      </c>
      <c r="E73" s="5"/>
      <c r="F73" s="40">
        <v>143.94999999999999</v>
      </c>
      <c r="G73" s="5"/>
      <c r="H73" s="5"/>
      <c r="I73" s="5"/>
      <c r="J73" s="5"/>
      <c r="K73" s="5"/>
    </row>
    <row r="74" spans="1:11" hidden="1">
      <c r="A74" s="65" cm="1">
        <f t="array" ref="A74">IFERROR(INDEX('Master Vendor Data'!A:A, MATCH(TRUE, INDEX(TRIM('Master Vendor Data'!C:C)=TRIM(C74), 0), 0)), "")</f>
        <v>9</v>
      </c>
      <c r="B74" s="5" t="s">
        <v>17</v>
      </c>
      <c r="C74" s="39" t="s">
        <v>33</v>
      </c>
      <c r="D74" s="39" t="s">
        <v>425</v>
      </c>
      <c r="E74" s="5"/>
      <c r="F74" s="40">
        <v>139.75</v>
      </c>
      <c r="G74" s="5"/>
      <c r="H74" s="5"/>
      <c r="I74" s="5"/>
      <c r="J74" s="5"/>
      <c r="K74" s="5"/>
    </row>
    <row r="75" spans="1:11" hidden="1">
      <c r="A75" s="65" cm="1">
        <f t="array" ref="A75">IFERROR(INDEX('Master Vendor Data'!A:A, MATCH(TRUE, INDEX(TRIM('Master Vendor Data'!C:C)=TRIM(C75), 0), 0)), "")</f>
        <v>9</v>
      </c>
      <c r="B75" s="5" t="s">
        <v>17</v>
      </c>
      <c r="C75" s="39" t="s">
        <v>33</v>
      </c>
      <c r="D75" s="39" t="s">
        <v>426</v>
      </c>
      <c r="E75" s="5"/>
      <c r="F75" s="40">
        <v>46</v>
      </c>
      <c r="G75" s="5"/>
      <c r="H75" s="5"/>
      <c r="I75" s="5"/>
      <c r="J75" s="5"/>
      <c r="K75" s="5"/>
    </row>
    <row r="76" spans="1:11" hidden="1">
      <c r="A76" s="65" cm="1">
        <f t="array" ref="A76">IFERROR(INDEX('Master Vendor Data'!A:A, MATCH(TRUE, INDEX(TRIM('Master Vendor Data'!C:C)=TRIM(C76), 0), 0)), "")</f>
        <v>4</v>
      </c>
      <c r="B76" s="5" t="s">
        <v>17</v>
      </c>
      <c r="C76" s="39" t="s">
        <v>26</v>
      </c>
      <c r="D76" s="39" t="s">
        <v>427</v>
      </c>
      <c r="E76" s="5"/>
      <c r="F76" s="40">
        <v>1164</v>
      </c>
      <c r="G76" s="5"/>
      <c r="H76" s="5"/>
      <c r="I76" s="5"/>
      <c r="J76" s="5"/>
      <c r="K76" s="5"/>
    </row>
    <row r="77" spans="1:11" hidden="1">
      <c r="A77" s="65" cm="1">
        <f t="array" ref="A77">IFERROR(INDEX('Master Vendor Data'!A:A, MATCH(TRUE, INDEX(TRIM('Master Vendor Data'!C:C)=TRIM(C77), 0), 0)), "")</f>
        <v>86</v>
      </c>
      <c r="B77" s="71" t="s">
        <v>17</v>
      </c>
      <c r="C77" s="72" t="s">
        <v>192</v>
      </c>
      <c r="D77" s="72" t="s">
        <v>428</v>
      </c>
      <c r="E77" s="71"/>
      <c r="F77" s="52">
        <v>52.513499999999986</v>
      </c>
      <c r="G77" s="5"/>
      <c r="H77" s="5"/>
      <c r="I77" s="5"/>
      <c r="J77" s="5"/>
      <c r="K77" s="5"/>
    </row>
    <row r="78" spans="1:11" hidden="1">
      <c r="A78" s="65" cm="1">
        <f t="array" ref="A78">IFERROR(INDEX('Master Vendor Data'!A:A, MATCH(TRUE, INDEX(TRIM('Master Vendor Data'!C:C)=TRIM(C78), 0), 0)), "")</f>
        <v>97</v>
      </c>
      <c r="B78" s="5" t="s">
        <v>17</v>
      </c>
      <c r="C78" s="39" t="s">
        <v>203</v>
      </c>
      <c r="D78" s="39" t="s">
        <v>428</v>
      </c>
      <c r="E78" s="5"/>
      <c r="F78" s="40">
        <v>177.05</v>
      </c>
      <c r="G78" s="5"/>
      <c r="H78" s="5"/>
      <c r="I78" s="5"/>
      <c r="J78" s="5"/>
      <c r="K78" s="5"/>
    </row>
    <row r="79" spans="1:11" hidden="1">
      <c r="A79" s="65" cm="1">
        <f t="array" ref="A79">IFERROR(INDEX('Master Vendor Data'!A:A, MATCH(TRUE, INDEX(TRIM('Master Vendor Data'!C:C)=TRIM(C79), 0), 0)), "")</f>
        <v>9</v>
      </c>
      <c r="B79" s="5" t="s">
        <v>17</v>
      </c>
      <c r="C79" s="39" t="s">
        <v>33</v>
      </c>
      <c r="D79" s="39" t="s">
        <v>428</v>
      </c>
      <c r="E79" s="5"/>
      <c r="F79" s="40">
        <v>112.93299999999996</v>
      </c>
      <c r="G79" s="5"/>
      <c r="H79" s="5"/>
      <c r="I79" s="5"/>
      <c r="J79" s="5"/>
      <c r="K79" s="5"/>
    </row>
    <row r="80" spans="1:11" hidden="1">
      <c r="A80" s="65" cm="1">
        <f t="array" ref="A80">IFERROR(INDEX('Master Vendor Data'!A:A, MATCH(TRUE, INDEX(TRIM('Master Vendor Data'!C:C)=TRIM(C80), 0), 0)), "")</f>
        <v>12</v>
      </c>
      <c r="B80" s="5" t="s">
        <v>17</v>
      </c>
      <c r="C80" s="39" t="s">
        <v>40</v>
      </c>
      <c r="D80" s="39" t="s">
        <v>429</v>
      </c>
      <c r="E80" s="5"/>
      <c r="F80" s="40">
        <v>745.75</v>
      </c>
      <c r="G80" s="5"/>
      <c r="H80" s="5"/>
      <c r="I80" s="5"/>
      <c r="J80" s="5"/>
      <c r="K80" s="5"/>
    </row>
    <row r="81" spans="1:11" hidden="1">
      <c r="A81" s="65" cm="1">
        <f t="array" ref="A81">IFERROR(INDEX('Master Vendor Data'!A:A, MATCH(TRUE, INDEX(TRIM('Master Vendor Data'!C:C)=TRIM(C81), 0), 0)), "")</f>
        <v>98</v>
      </c>
      <c r="B81" s="5" t="s">
        <v>17</v>
      </c>
      <c r="C81" s="39" t="s">
        <v>204</v>
      </c>
      <c r="D81" s="39" t="s">
        <v>429</v>
      </c>
      <c r="E81" s="5"/>
      <c r="F81" s="40">
        <v>200</v>
      </c>
      <c r="G81" s="5"/>
      <c r="H81" s="5"/>
      <c r="I81" s="5"/>
      <c r="J81" s="5"/>
      <c r="K81" s="5"/>
    </row>
    <row r="82" spans="1:11" hidden="1">
      <c r="A82" s="65" cm="1">
        <f t="array" ref="A82">IFERROR(INDEX('Master Vendor Data'!A:A, MATCH(TRUE, INDEX(TRIM('Master Vendor Data'!C:C)=TRIM(C82), 0), 0)), "")</f>
        <v>10</v>
      </c>
      <c r="B82" s="5" t="s">
        <v>17</v>
      </c>
      <c r="C82" s="70" t="s">
        <v>36</v>
      </c>
      <c r="D82" s="39" t="s">
        <v>430</v>
      </c>
      <c r="E82" s="5"/>
      <c r="F82" s="40">
        <v>238</v>
      </c>
      <c r="G82" s="5"/>
      <c r="H82" s="5"/>
      <c r="I82" s="5"/>
      <c r="J82" s="5"/>
      <c r="K82" s="5"/>
    </row>
    <row r="83" spans="1:11" hidden="1">
      <c r="A83" s="65" cm="1">
        <f t="array" ref="A83">IFERROR(INDEX('Master Vendor Data'!A:A, MATCH(TRUE, INDEX(TRIM('Master Vendor Data'!C:C)=TRIM(C83), 0), 0)), "")</f>
        <v>99</v>
      </c>
      <c r="B83" s="5" t="s">
        <v>17</v>
      </c>
      <c r="C83" s="70" t="s">
        <v>205</v>
      </c>
      <c r="D83" s="39" t="s">
        <v>431</v>
      </c>
      <c r="E83" s="5"/>
      <c r="F83" s="40">
        <v>219</v>
      </c>
      <c r="G83" s="5"/>
      <c r="H83" s="5"/>
      <c r="I83" s="5"/>
      <c r="J83" s="5"/>
      <c r="K83" s="5"/>
    </row>
    <row r="84" spans="1:11" hidden="1">
      <c r="A84" s="65" cm="1">
        <f t="array" ref="A84">IFERROR(INDEX('Master Vendor Data'!A:A, MATCH(TRUE, INDEX(TRIM('Master Vendor Data'!C:C)=TRIM(C84), 0), 0)), "")</f>
        <v>6</v>
      </c>
      <c r="B84" s="5" t="s">
        <v>17</v>
      </c>
      <c r="C84" s="39" t="s">
        <v>28</v>
      </c>
      <c r="D84" s="39" t="s">
        <v>432</v>
      </c>
      <c r="E84" s="5"/>
      <c r="F84" s="40">
        <v>179</v>
      </c>
      <c r="G84" s="5"/>
      <c r="H84" s="5"/>
      <c r="I84" s="5"/>
      <c r="J84" s="5"/>
      <c r="K84" s="5"/>
    </row>
    <row r="85" spans="1:11" hidden="1">
      <c r="A85" s="65" cm="1">
        <f t="array" ref="A85">IFERROR(INDEX('Master Vendor Data'!A:A, MATCH(TRUE, INDEX(TRIM('Master Vendor Data'!C:C)=TRIM(C85), 0), 0)), "")</f>
        <v>6</v>
      </c>
      <c r="B85" s="5" t="s">
        <v>17</v>
      </c>
      <c r="C85" s="39" t="s">
        <v>28</v>
      </c>
      <c r="D85" s="39" t="s">
        <v>433</v>
      </c>
      <c r="E85" s="5"/>
      <c r="F85" s="40">
        <v>165.5</v>
      </c>
      <c r="G85" s="5"/>
      <c r="H85" s="5"/>
      <c r="I85" s="5"/>
      <c r="J85" s="5"/>
      <c r="K85" s="5"/>
    </row>
    <row r="86" spans="1:11" hidden="1">
      <c r="A86" s="65" cm="1">
        <f t="array" ref="A86">IFERROR(INDEX('Master Vendor Data'!A:A, MATCH(TRUE, INDEX(TRIM('Master Vendor Data'!C:C)=TRIM(C86), 0), 0)), "")</f>
        <v>100</v>
      </c>
      <c r="B86" s="5" t="s">
        <v>17</v>
      </c>
      <c r="C86" s="39" t="s">
        <v>206</v>
      </c>
      <c r="D86" s="39" t="s">
        <v>433</v>
      </c>
      <c r="E86" s="5"/>
      <c r="F86" s="40">
        <v>7.9</v>
      </c>
      <c r="G86" s="5"/>
      <c r="H86" s="5"/>
      <c r="I86" s="5"/>
      <c r="J86" s="5"/>
      <c r="K86" s="5"/>
    </row>
    <row r="87" spans="1:11" hidden="1">
      <c r="A87" s="65" cm="1">
        <f t="array" ref="A87">IFERROR(INDEX('Master Vendor Data'!A:A, MATCH(TRUE, INDEX(TRIM('Master Vendor Data'!C:C)=TRIM(C87), 0), 0)), "")</f>
        <v>3</v>
      </c>
      <c r="B87" s="5" t="s">
        <v>17</v>
      </c>
      <c r="C87" s="39" t="s">
        <v>24</v>
      </c>
      <c r="D87" s="39" t="s">
        <v>434</v>
      </c>
      <c r="E87" s="5"/>
      <c r="F87" s="40">
        <v>20.5</v>
      </c>
      <c r="G87" s="5"/>
      <c r="H87" s="5"/>
      <c r="I87" s="5"/>
      <c r="J87" s="5"/>
      <c r="K87" s="5"/>
    </row>
    <row r="88" spans="1:11" hidden="1">
      <c r="A88" s="65" cm="1">
        <f t="array" ref="A88">IFERROR(INDEX('Master Vendor Data'!A:A, MATCH(TRUE, INDEX(TRIM('Master Vendor Data'!C:C)=TRIM(C88), 0), 0)), "")</f>
        <v>5</v>
      </c>
      <c r="B88" s="5" t="s">
        <v>17</v>
      </c>
      <c r="C88" s="39" t="s">
        <v>27</v>
      </c>
      <c r="D88" s="39" t="s">
        <v>435</v>
      </c>
      <c r="E88" s="5"/>
      <c r="F88" s="40">
        <v>650.15</v>
      </c>
      <c r="G88" s="5"/>
      <c r="H88" s="5"/>
      <c r="I88" s="5"/>
      <c r="J88" s="5"/>
      <c r="K88" s="5"/>
    </row>
    <row r="89" spans="1:11" hidden="1">
      <c r="A89" s="65" cm="1">
        <f t="array" ref="A89">IFERROR(INDEX('Master Vendor Data'!A:A, MATCH(TRUE, INDEX(TRIM('Master Vendor Data'!C:C)=TRIM(C89), 0), 0)), "")</f>
        <v>40</v>
      </c>
      <c r="B89" s="5" t="s">
        <v>108</v>
      </c>
      <c r="C89" s="39" t="s">
        <v>105</v>
      </c>
      <c r="D89" s="39" t="s">
        <v>401</v>
      </c>
      <c r="E89" s="5"/>
      <c r="F89" s="40">
        <v>11</v>
      </c>
      <c r="G89" s="5"/>
      <c r="H89" s="5"/>
      <c r="I89" s="5"/>
      <c r="J89" s="5"/>
      <c r="K89" s="5"/>
    </row>
    <row r="90" spans="1:11" hidden="1">
      <c r="A90" s="65" cm="1">
        <f t="array" ref="A90">IFERROR(INDEX('Master Vendor Data'!A:A, MATCH(TRUE, INDEX(TRIM('Master Vendor Data'!C:C)=TRIM(C90), 0), 0)), "")</f>
        <v>39</v>
      </c>
      <c r="B90" s="5" t="s">
        <v>108</v>
      </c>
      <c r="C90" s="39" t="s">
        <v>103</v>
      </c>
      <c r="D90" s="39" t="s">
        <v>436</v>
      </c>
      <c r="E90" s="5"/>
      <c r="F90" s="40">
        <v>190.375</v>
      </c>
      <c r="G90" s="5"/>
      <c r="H90" s="5"/>
      <c r="I90" s="5"/>
      <c r="J90" s="5"/>
      <c r="K90" s="5"/>
    </row>
    <row r="91" spans="1:11" hidden="1">
      <c r="A91" s="65" cm="1">
        <f t="array" ref="A91">IFERROR(INDEX('Master Vendor Data'!A:A, MATCH(TRUE, INDEX(TRIM('Master Vendor Data'!C:C)=TRIM(C91), 0), 0)), "")</f>
        <v>101</v>
      </c>
      <c r="B91" s="5" t="s">
        <v>108</v>
      </c>
      <c r="C91" s="39" t="s">
        <v>207</v>
      </c>
      <c r="D91" s="39" t="s">
        <v>436</v>
      </c>
      <c r="E91" s="5"/>
      <c r="F91" s="40">
        <v>752</v>
      </c>
      <c r="G91" s="5"/>
      <c r="H91" s="5"/>
      <c r="I91" s="5"/>
      <c r="J91" s="5"/>
      <c r="K91" s="5"/>
    </row>
    <row r="92" spans="1:11" hidden="1">
      <c r="A92" s="65" cm="1">
        <f t="array" ref="A92">IFERROR(INDEX('Master Vendor Data'!A:A, MATCH(TRUE, INDEX(TRIM('Master Vendor Data'!C:C)=TRIM(C92), 0), 0)), "")</f>
        <v>40</v>
      </c>
      <c r="B92" s="5" t="s">
        <v>108</v>
      </c>
      <c r="C92" s="39" t="s">
        <v>105</v>
      </c>
      <c r="D92" s="39" t="s">
        <v>437</v>
      </c>
      <c r="E92" s="5"/>
      <c r="F92" s="40">
        <v>26.55</v>
      </c>
      <c r="G92" s="5"/>
      <c r="H92" s="5"/>
      <c r="I92" s="5"/>
      <c r="J92" s="5"/>
      <c r="K92" s="5"/>
    </row>
    <row r="93" spans="1:11" hidden="1">
      <c r="A93" s="65" cm="1">
        <f t="array" ref="A93">IFERROR(INDEX('Master Vendor Data'!A:A, MATCH(TRUE, INDEX(TRIM('Master Vendor Data'!C:C)=TRIM(C93), 0), 0)), "")</f>
        <v>48</v>
      </c>
      <c r="B93" s="5" t="s">
        <v>108</v>
      </c>
      <c r="C93" s="39" t="s">
        <v>438</v>
      </c>
      <c r="D93" s="39" t="s">
        <v>423</v>
      </c>
      <c r="E93" s="5"/>
      <c r="F93" s="40">
        <v>205.45</v>
      </c>
      <c r="G93" s="5"/>
      <c r="H93" s="5"/>
      <c r="I93" s="5"/>
      <c r="J93" s="5"/>
      <c r="K93" s="5"/>
    </row>
    <row r="94" spans="1:11" hidden="1">
      <c r="A94" s="65" cm="1">
        <f t="array" ref="A94">IFERROR(INDEX('Master Vendor Data'!A:A, MATCH(TRUE, INDEX(TRIM('Master Vendor Data'!C:C)=TRIM(C94), 0), 0)), "")</f>
        <v>101</v>
      </c>
      <c r="B94" s="5" t="s">
        <v>108</v>
      </c>
      <c r="C94" s="39" t="s">
        <v>207</v>
      </c>
      <c r="D94" s="39" t="s">
        <v>423</v>
      </c>
      <c r="E94" s="5"/>
      <c r="F94" s="40">
        <v>274.64999999999998</v>
      </c>
      <c r="G94" s="5"/>
      <c r="H94" s="5"/>
      <c r="I94" s="5"/>
      <c r="J94" s="5"/>
      <c r="K94" s="5"/>
    </row>
    <row r="95" spans="1:11" hidden="1">
      <c r="A95" s="65" cm="1">
        <f t="array" ref="A95">IFERROR(INDEX('Master Vendor Data'!A:A, MATCH(TRUE, INDEX(TRIM('Master Vendor Data'!C:C)=TRIM(C95), 0), 0)), "")</f>
        <v>102</v>
      </c>
      <c r="B95" s="5" t="s">
        <v>108</v>
      </c>
      <c r="C95" s="39" t="s">
        <v>208</v>
      </c>
      <c r="D95" s="39" t="s">
        <v>423</v>
      </c>
      <c r="E95" s="5"/>
      <c r="F95" s="40">
        <v>1065</v>
      </c>
      <c r="G95" s="5"/>
      <c r="H95" s="5"/>
      <c r="I95" s="5"/>
      <c r="J95" s="5"/>
      <c r="K95" s="5"/>
    </row>
    <row r="96" spans="1:11" hidden="1">
      <c r="A96" s="65" cm="1">
        <f t="array" ref="A96">IFERROR(INDEX('Master Vendor Data'!A:A, MATCH(TRUE, INDEX(TRIM('Master Vendor Data'!C:C)=TRIM(C96), 0), 0)), "")</f>
        <v>49</v>
      </c>
      <c r="B96" s="5" t="s">
        <v>108</v>
      </c>
      <c r="C96" s="39" t="s">
        <v>124</v>
      </c>
      <c r="D96" s="39" t="s">
        <v>423</v>
      </c>
      <c r="E96" s="5"/>
      <c r="F96" s="40">
        <v>290.95</v>
      </c>
      <c r="G96" s="5"/>
      <c r="H96" s="5"/>
      <c r="I96" s="5"/>
      <c r="J96" s="5"/>
      <c r="K96" s="5"/>
    </row>
    <row r="97" spans="1:11" hidden="1">
      <c r="A97" s="65" cm="1">
        <f t="array" ref="A97">IFERROR(INDEX('Master Vendor Data'!A:A, MATCH(TRUE, INDEX(TRIM('Master Vendor Data'!C:C)=TRIM(C97), 0), 0)), "")</f>
        <v>52</v>
      </c>
      <c r="B97" s="5" t="s">
        <v>108</v>
      </c>
      <c r="C97" s="39" t="s">
        <v>439</v>
      </c>
      <c r="D97" s="39" t="s">
        <v>440</v>
      </c>
      <c r="E97" s="5"/>
      <c r="F97" s="40">
        <v>64.45</v>
      </c>
      <c r="G97" s="5"/>
      <c r="H97" s="5"/>
      <c r="I97" s="5"/>
      <c r="J97" s="5"/>
      <c r="K97" s="5"/>
    </row>
    <row r="98" spans="1:11" hidden="1">
      <c r="A98" s="65" cm="1">
        <f t="array" ref="A98">IFERROR(INDEX('Master Vendor Data'!A:A, MATCH(TRUE, INDEX(TRIM('Master Vendor Data'!C:C)=TRIM(C98), 0), 0)), "")</f>
        <v>39</v>
      </c>
      <c r="B98" s="5" t="s">
        <v>108</v>
      </c>
      <c r="C98" s="39" t="s">
        <v>103</v>
      </c>
      <c r="D98" s="39" t="s">
        <v>427</v>
      </c>
      <c r="E98" s="5"/>
      <c r="F98" s="40">
        <v>505.6</v>
      </c>
      <c r="G98" s="5"/>
      <c r="H98" s="5"/>
      <c r="I98" s="5"/>
      <c r="J98" s="5"/>
      <c r="K98" s="5"/>
    </row>
    <row r="99" spans="1:11" hidden="1">
      <c r="A99" s="65" cm="1">
        <f t="array" ref="A99">IFERROR(INDEX('Master Vendor Data'!A:A, MATCH(TRUE, INDEX(TRIM('Master Vendor Data'!C:C)=TRIM(C99), 0), 0)), "")</f>
        <v>103</v>
      </c>
      <c r="B99" s="5" t="s">
        <v>108</v>
      </c>
      <c r="C99" s="39" t="s">
        <v>209</v>
      </c>
      <c r="D99" s="39" t="s">
        <v>427</v>
      </c>
      <c r="E99" s="5"/>
      <c r="F99" s="40">
        <v>839</v>
      </c>
      <c r="G99" s="5"/>
      <c r="H99" s="5"/>
      <c r="I99" s="5"/>
      <c r="J99" s="5"/>
      <c r="K99" s="5"/>
    </row>
    <row r="100" spans="1:11" hidden="1">
      <c r="A100" s="65" cm="1">
        <f t="array" ref="A100">IFERROR(INDEX('Master Vendor Data'!A:A, MATCH(TRUE, INDEX(TRIM('Master Vendor Data'!C:C)=TRIM(C100), 0), 0)), "")</f>
        <v>40</v>
      </c>
      <c r="B100" s="5" t="s">
        <v>108</v>
      </c>
      <c r="C100" s="39" t="s">
        <v>105</v>
      </c>
      <c r="D100" s="39" t="s">
        <v>431</v>
      </c>
      <c r="E100" s="5"/>
      <c r="F100" s="40">
        <v>120.95</v>
      </c>
      <c r="G100" s="5"/>
      <c r="H100" s="5"/>
      <c r="I100" s="5"/>
      <c r="J100" s="5"/>
      <c r="K100" s="5"/>
    </row>
    <row r="101" spans="1:11" hidden="1">
      <c r="A101" s="65" cm="1">
        <f t="array" ref="A101">IFERROR(INDEX('Master Vendor Data'!A:A, MATCH(TRUE, INDEX(TRIM('Master Vendor Data'!C:C)=TRIM(C101), 0), 0)), "")</f>
        <v>104</v>
      </c>
      <c r="B101" s="5" t="s">
        <v>183</v>
      </c>
      <c r="C101" s="39" t="s">
        <v>210</v>
      </c>
      <c r="D101" s="39" t="s">
        <v>393</v>
      </c>
      <c r="E101" s="5"/>
      <c r="F101" s="40">
        <v>142</v>
      </c>
      <c r="G101" s="5"/>
      <c r="H101" s="5"/>
      <c r="I101" s="5"/>
      <c r="J101" s="5"/>
      <c r="K101" s="5"/>
    </row>
    <row r="102" spans="1:11" hidden="1">
      <c r="A102" s="65" cm="1">
        <f t="array" ref="A102">IFERROR(INDEX('Master Vendor Data'!A:A, MATCH(TRUE, INDEX(TRIM('Master Vendor Data'!C:C)=TRIM(C102), 0), 0)), "")</f>
        <v>105</v>
      </c>
      <c r="B102" s="5" t="s">
        <v>183</v>
      </c>
      <c r="C102" s="39" t="s">
        <v>211</v>
      </c>
      <c r="D102" s="39" t="s">
        <v>441</v>
      </c>
      <c r="E102" s="5"/>
      <c r="F102" s="40">
        <v>264.5</v>
      </c>
      <c r="G102" s="5"/>
      <c r="H102" s="5"/>
      <c r="I102" s="5"/>
      <c r="J102" s="5"/>
      <c r="K102" s="5"/>
    </row>
    <row r="103" spans="1:11" hidden="1">
      <c r="A103" s="65" cm="1">
        <f t="array" ref="A103">IFERROR(INDEX('Master Vendor Data'!A:A, MATCH(TRUE, INDEX(TRIM('Master Vendor Data'!C:C)=TRIM(C103), 0), 0)), "")</f>
        <v>34</v>
      </c>
      <c r="B103" s="5" t="s">
        <v>183</v>
      </c>
      <c r="C103" s="39" t="s">
        <v>442</v>
      </c>
      <c r="D103" s="39" t="s">
        <v>443</v>
      </c>
      <c r="E103" s="5"/>
      <c r="F103" s="40">
        <v>45</v>
      </c>
      <c r="G103" s="5"/>
      <c r="H103" s="5"/>
      <c r="I103" s="5"/>
      <c r="J103" s="5"/>
      <c r="K103" s="5"/>
    </row>
    <row r="104" spans="1:11" hidden="1">
      <c r="A104" s="65" cm="1">
        <f t="array" ref="A104">IFERROR(INDEX('Master Vendor Data'!A:A, MATCH(TRUE, INDEX(TRIM('Master Vendor Data'!C:C)=TRIM(C104), 0), 0)), "")</f>
        <v>106</v>
      </c>
      <c r="B104" s="5" t="s">
        <v>212</v>
      </c>
      <c r="C104" s="39" t="s">
        <v>213</v>
      </c>
      <c r="D104" s="39" t="s">
        <v>444</v>
      </c>
      <c r="E104" s="5"/>
      <c r="F104" s="40">
        <v>80</v>
      </c>
      <c r="G104" s="5"/>
      <c r="H104" s="5"/>
      <c r="I104" s="5"/>
      <c r="J104" s="5"/>
      <c r="K104" s="5"/>
    </row>
    <row r="105" spans="1:11" hidden="1">
      <c r="A105" s="65" cm="1">
        <f t="array" ref="A105">IFERROR(INDEX('Master Vendor Data'!A:A, MATCH(TRUE, INDEX(TRIM('Master Vendor Data'!C:C)=TRIM(C105), 0), 0)), "")</f>
        <v>107</v>
      </c>
      <c r="B105" s="5" t="s">
        <v>212</v>
      </c>
      <c r="C105" s="39" t="s">
        <v>214</v>
      </c>
      <c r="D105" s="39" t="s">
        <v>445</v>
      </c>
      <c r="E105" s="5"/>
      <c r="F105" s="40">
        <v>19</v>
      </c>
      <c r="G105" s="5"/>
      <c r="H105" s="5"/>
      <c r="I105" s="5"/>
      <c r="J105" s="5"/>
      <c r="K105" s="5"/>
    </row>
    <row r="106" spans="1:11" hidden="1">
      <c r="A106" s="65" cm="1">
        <f t="array" ref="A106">IFERROR(INDEX('Master Vendor Data'!A:A, MATCH(TRUE, INDEX(TRIM('Master Vendor Data'!C:C)=TRIM(C106), 0), 0)), "")</f>
        <v>108</v>
      </c>
      <c r="B106" s="5" t="s">
        <v>212</v>
      </c>
      <c r="C106" s="39" t="s">
        <v>215</v>
      </c>
      <c r="D106" s="39" t="s">
        <v>445</v>
      </c>
      <c r="E106" s="5"/>
      <c r="F106" s="40">
        <v>25</v>
      </c>
      <c r="G106" s="5"/>
      <c r="H106" s="5"/>
      <c r="I106" s="5"/>
      <c r="J106" s="5"/>
      <c r="K106" s="5"/>
    </row>
    <row r="107" spans="1:11" hidden="1">
      <c r="A107" s="65" cm="1">
        <f t="array" ref="A107">IFERROR(INDEX('Master Vendor Data'!A:A, MATCH(TRUE, INDEX(TRIM('Master Vendor Data'!C:C)=TRIM(C107), 0), 0)), "")</f>
        <v>105</v>
      </c>
      <c r="B107" s="5" t="s">
        <v>212</v>
      </c>
      <c r="C107" s="39" t="s">
        <v>211</v>
      </c>
      <c r="D107" s="39" t="s">
        <v>445</v>
      </c>
      <c r="E107" s="5"/>
      <c r="F107" s="40">
        <v>218.6</v>
      </c>
      <c r="G107" s="5"/>
      <c r="H107" s="5"/>
      <c r="I107" s="5"/>
      <c r="J107" s="5"/>
      <c r="K107" s="5"/>
    </row>
    <row r="108" spans="1:11" ht="29.25" hidden="1">
      <c r="A108" s="65" cm="1">
        <f t="array" ref="A108">IFERROR(INDEX('Master Vendor Data'!A:A, MATCH(TRUE, INDEX(TRIM('Master Vendor Data'!C:C)=TRIM(C108), 0), 0)), "")</f>
        <v>64</v>
      </c>
      <c r="B108" s="5" t="s">
        <v>185</v>
      </c>
      <c r="C108" s="39" t="s">
        <v>155</v>
      </c>
      <c r="D108" s="39" t="s">
        <v>446</v>
      </c>
      <c r="E108" s="5"/>
      <c r="F108" s="40">
        <v>100</v>
      </c>
      <c r="G108" s="5"/>
      <c r="H108" s="5"/>
      <c r="I108" s="5"/>
      <c r="J108" s="5"/>
      <c r="K108" s="5"/>
    </row>
    <row r="109" spans="1:11" hidden="1">
      <c r="A109" s="65" cm="1">
        <f t="array" ref="A109">IFERROR(INDEX('Master Vendor Data'!A:A, MATCH(TRUE, INDEX(TRIM('Master Vendor Data'!C:C)=TRIM(C109), 0), 0)), "")</f>
        <v>109</v>
      </c>
      <c r="B109" s="5" t="s">
        <v>185</v>
      </c>
      <c r="C109" s="39" t="s">
        <v>216</v>
      </c>
      <c r="D109" s="39" t="s">
        <v>405</v>
      </c>
      <c r="E109" s="5"/>
      <c r="F109" s="40">
        <v>303.25</v>
      </c>
      <c r="G109" s="5"/>
      <c r="H109" s="5"/>
      <c r="I109" s="5"/>
      <c r="J109" s="5"/>
      <c r="K109" s="5"/>
    </row>
    <row r="110" spans="1:11" hidden="1">
      <c r="A110" s="65" cm="1">
        <f t="array" ref="A110">IFERROR(INDEX('Master Vendor Data'!A:A, MATCH(TRUE, INDEX(TRIM('Master Vendor Data'!C:C)=TRIM(C110), 0), 0)), "")</f>
        <v>59</v>
      </c>
      <c r="B110" s="5" t="s">
        <v>185</v>
      </c>
      <c r="C110" s="39" t="s">
        <v>143</v>
      </c>
      <c r="D110" s="39" t="s">
        <v>447</v>
      </c>
      <c r="E110" s="5"/>
      <c r="F110" s="40">
        <v>73.5</v>
      </c>
      <c r="G110" s="5"/>
      <c r="H110" s="5"/>
      <c r="I110" s="5"/>
      <c r="J110" s="5"/>
      <c r="K110" s="5"/>
    </row>
    <row r="111" spans="1:11" hidden="1">
      <c r="A111" s="65" cm="1">
        <f t="array" ref="A111">IFERROR(INDEX('Master Vendor Data'!A:A, MATCH(TRUE, INDEX(TRIM('Master Vendor Data'!C:C)=TRIM(C111), 0), 0)), "")</f>
        <v>31</v>
      </c>
      <c r="B111" s="5" t="s">
        <v>448</v>
      </c>
      <c r="C111" s="39" t="s">
        <v>449</v>
      </c>
      <c r="D111" s="39" t="s">
        <v>445</v>
      </c>
      <c r="E111" s="5"/>
      <c r="F111" s="40">
        <v>144.80000000000001</v>
      </c>
      <c r="G111" s="5"/>
      <c r="H111" s="5"/>
      <c r="I111" s="5"/>
      <c r="J111" s="5"/>
      <c r="K111" s="5"/>
    </row>
    <row r="112" spans="1:11" hidden="1">
      <c r="A112" s="65" cm="1">
        <f t="array" ref="A112">IFERROR(INDEX('Master Vendor Data'!A:A, MATCH(TRUE, INDEX(TRIM('Master Vendor Data'!C:C)=TRIM(C112), 0), 0)), "")</f>
        <v>33</v>
      </c>
      <c r="B112" s="5" t="s">
        <v>450</v>
      </c>
      <c r="C112" s="39" t="s">
        <v>451</v>
      </c>
      <c r="D112" s="39" t="s">
        <v>425</v>
      </c>
      <c r="E112" s="5"/>
      <c r="F112" s="40">
        <v>83.75</v>
      </c>
      <c r="G112" s="5"/>
      <c r="H112" s="5"/>
      <c r="I112" s="5"/>
      <c r="J112" s="5"/>
      <c r="K112" s="5"/>
    </row>
    <row r="113" spans="1:11" hidden="1">
      <c r="A113" s="65" cm="1">
        <f t="array" ref="A113">IFERROR(INDEX('Master Vendor Data'!A:A, MATCH(TRUE, INDEX(TRIM('Master Vendor Data'!C:C)=TRIM(C113), 0), 0)), "")</f>
        <v>110</v>
      </c>
      <c r="B113" s="5" t="s">
        <v>53</v>
      </c>
      <c r="C113" s="39" t="s">
        <v>217</v>
      </c>
      <c r="D113" s="39" t="s">
        <v>393</v>
      </c>
      <c r="E113" s="5"/>
      <c r="F113" s="40">
        <v>22.9</v>
      </c>
      <c r="G113" s="5"/>
      <c r="H113" s="5"/>
      <c r="I113" s="5"/>
      <c r="J113" s="5"/>
      <c r="K113" s="5"/>
    </row>
    <row r="114" spans="1:11" ht="29.25" hidden="1">
      <c r="A114" s="65" cm="1">
        <f t="array" ref="A114">IFERROR(INDEX('Master Vendor Data'!A:A, MATCH(TRUE, INDEX(TRIM('Master Vendor Data'!C:C)=TRIM(C114), 0), 0)), "")</f>
        <v>29</v>
      </c>
      <c r="B114" s="5" t="s">
        <v>74</v>
      </c>
      <c r="C114" s="39" t="s">
        <v>81</v>
      </c>
      <c r="D114" s="39" t="s">
        <v>452</v>
      </c>
      <c r="E114" s="5"/>
      <c r="F114" s="40">
        <v>178.5</v>
      </c>
      <c r="G114" s="5"/>
      <c r="H114" s="5"/>
      <c r="I114" s="5"/>
      <c r="J114" s="5"/>
      <c r="K114" s="5"/>
    </row>
    <row r="115" spans="1:11" hidden="1">
      <c r="A115" s="65" cm="1">
        <f t="array" ref="A115">IFERROR(INDEX('Master Vendor Data'!A:A, MATCH(TRUE, INDEX(TRIM('Master Vendor Data'!C:C)=TRIM(C115), 0), 0)), "")</f>
        <v>27</v>
      </c>
      <c r="B115" s="5" t="s">
        <v>74</v>
      </c>
      <c r="C115" s="39" t="s">
        <v>77</v>
      </c>
      <c r="D115" s="39" t="s">
        <v>452</v>
      </c>
      <c r="E115" s="5"/>
      <c r="F115" s="40">
        <v>1767.5</v>
      </c>
      <c r="G115" s="5"/>
      <c r="H115" s="5"/>
      <c r="I115" s="5"/>
      <c r="J115" s="5"/>
      <c r="K115" s="5"/>
    </row>
    <row r="116" spans="1:11" hidden="1">
      <c r="A116" s="65" cm="1">
        <f t="array" ref="A116">IFERROR(INDEX('Master Vendor Data'!A:A, MATCH(TRUE, INDEX(TRIM('Master Vendor Data'!C:C)=TRIM(C116), 0), 0)), "")</f>
        <v>34</v>
      </c>
      <c r="B116" s="5" t="s">
        <v>74</v>
      </c>
      <c r="C116" s="39" t="s">
        <v>442</v>
      </c>
      <c r="D116" s="39" t="s">
        <v>453</v>
      </c>
      <c r="E116" s="5"/>
      <c r="F116" s="40">
        <v>46</v>
      </c>
      <c r="G116" s="5"/>
      <c r="H116" s="5"/>
      <c r="I116" s="5"/>
      <c r="J116" s="5"/>
      <c r="K116" s="5"/>
    </row>
    <row r="117" spans="1:11" hidden="1">
      <c r="A117" s="65" cm="1">
        <f t="array" ref="A117">IFERROR(INDEX('Master Vendor Data'!A:A, MATCH(TRUE, INDEX(TRIM('Master Vendor Data'!C:C)=TRIM(C117), 0), 0)), "")</f>
        <v>111</v>
      </c>
      <c r="B117" s="5" t="s">
        <v>74</v>
      </c>
      <c r="C117" s="39" t="s">
        <v>218</v>
      </c>
      <c r="D117" s="39" t="s">
        <v>423</v>
      </c>
      <c r="E117" s="5"/>
      <c r="F117" s="40">
        <v>111.5</v>
      </c>
      <c r="G117" s="5"/>
      <c r="H117" s="5"/>
      <c r="I117" s="5"/>
      <c r="J117" s="5"/>
      <c r="K117" s="5"/>
    </row>
    <row r="118" spans="1:11" hidden="1">
      <c r="A118" s="65" cm="1">
        <f t="array" ref="A118">IFERROR(INDEX('Master Vendor Data'!A:A, MATCH(TRUE, INDEX(TRIM('Master Vendor Data'!C:C)=TRIM(C118), 0), 0)), "")</f>
        <v>112</v>
      </c>
      <c r="B118" s="5" t="s">
        <v>74</v>
      </c>
      <c r="C118" s="39" t="s">
        <v>219</v>
      </c>
      <c r="D118" s="39" t="s">
        <v>423</v>
      </c>
      <c r="E118" s="5"/>
      <c r="F118" s="40">
        <v>37.25</v>
      </c>
      <c r="G118" s="5"/>
      <c r="H118" s="5"/>
      <c r="I118" s="5"/>
      <c r="J118" s="5"/>
      <c r="K118" s="5"/>
    </row>
    <row r="119" spans="1:11" hidden="1">
      <c r="A119" s="65" cm="1">
        <f t="array" ref="A119">IFERROR(INDEX('Master Vendor Data'!A:A, MATCH(TRUE, INDEX(TRIM('Master Vendor Data'!C:C)=TRIM(C119), 0), 0)), "")</f>
        <v>111</v>
      </c>
      <c r="B119" s="5" t="s">
        <v>74</v>
      </c>
      <c r="C119" s="39" t="s">
        <v>218</v>
      </c>
      <c r="D119" s="39" t="s">
        <v>454</v>
      </c>
      <c r="E119" s="5"/>
      <c r="F119" s="40">
        <v>131.75</v>
      </c>
      <c r="G119" s="5"/>
      <c r="H119" s="5"/>
      <c r="I119" s="5"/>
      <c r="J119" s="5"/>
      <c r="K119" s="5"/>
    </row>
    <row r="120" spans="1:11" hidden="1">
      <c r="A120" s="65" cm="1">
        <f t="array" ref="A120">IFERROR(INDEX('Master Vendor Data'!A:A, MATCH(TRUE, INDEX(TRIM('Master Vendor Data'!C:C)=TRIM(C120), 0), 0)), "")</f>
        <v>33</v>
      </c>
      <c r="B120" s="5" t="s">
        <v>74</v>
      </c>
      <c r="C120" s="39" t="s">
        <v>451</v>
      </c>
      <c r="D120" s="39" t="s">
        <v>425</v>
      </c>
      <c r="E120" s="5"/>
      <c r="F120" s="40">
        <v>54</v>
      </c>
      <c r="G120" s="5"/>
      <c r="H120" s="5"/>
      <c r="I120" s="5"/>
      <c r="J120" s="5"/>
      <c r="K120" s="5"/>
    </row>
    <row r="121" spans="1:11" hidden="1">
      <c r="A121" s="65" cm="1">
        <f t="array" ref="A121">IFERROR(INDEX('Master Vendor Data'!A:A, MATCH(TRUE, INDEX(TRIM('Master Vendor Data'!C:C)=TRIM(C121), 0), 0)), "")</f>
        <v>26</v>
      </c>
      <c r="B121" s="5" t="s">
        <v>74</v>
      </c>
      <c r="C121" s="39" t="s">
        <v>75</v>
      </c>
      <c r="D121" s="39" t="s">
        <v>425</v>
      </c>
      <c r="E121" s="5"/>
      <c r="F121" s="40">
        <v>526.70000000000005</v>
      </c>
      <c r="G121" s="5"/>
      <c r="H121" s="5"/>
      <c r="I121" s="5"/>
      <c r="J121" s="5"/>
      <c r="K121" s="5"/>
    </row>
    <row r="122" spans="1:11" hidden="1">
      <c r="A122" s="65" cm="1">
        <f t="array" ref="A122">IFERROR(INDEX('Master Vendor Data'!A:A, MATCH(TRUE, INDEX(TRIM('Master Vendor Data'!C:C)=TRIM(C122), 0), 0)), "")</f>
        <v>55</v>
      </c>
      <c r="B122" s="5" t="s">
        <v>128</v>
      </c>
      <c r="C122" s="39" t="s">
        <v>133</v>
      </c>
      <c r="D122" s="39" t="s">
        <v>455</v>
      </c>
      <c r="E122" s="5"/>
      <c r="F122" s="40">
        <v>284.89999999999998</v>
      </c>
      <c r="G122" s="5"/>
      <c r="H122" s="5"/>
      <c r="I122" s="5"/>
      <c r="J122" s="5"/>
      <c r="K122" s="5"/>
    </row>
    <row r="123" spans="1:11">
      <c r="A123" s="65" cm="1">
        <f t="array" ref="A123">IFERROR(INDEX('Master Vendor Data'!A:A, MATCH(TRUE, INDEX(TRIM('Master Vendor Data'!C:C)=TRIM(C123), 0), 0)), "")</f>
        <v>53</v>
      </c>
      <c r="B123" s="5" t="s">
        <v>128</v>
      </c>
      <c r="C123" s="39" t="s">
        <v>129</v>
      </c>
      <c r="D123" s="39" t="s">
        <v>453</v>
      </c>
      <c r="E123" s="5"/>
      <c r="F123" s="40">
        <v>53.7</v>
      </c>
      <c r="G123" s="5"/>
      <c r="H123" s="5"/>
      <c r="I123" s="5"/>
      <c r="J123" s="5"/>
      <c r="K123" s="5"/>
    </row>
    <row r="124" spans="1:11">
      <c r="A124" s="65" cm="1">
        <f t="array" ref="A124">IFERROR(INDEX('Master Vendor Data'!A:A, MATCH(TRUE, INDEX(TRIM('Master Vendor Data'!C:C)=TRIM(C124), 0), 0)), "")</f>
        <v>53</v>
      </c>
      <c r="B124" s="5" t="s">
        <v>128</v>
      </c>
      <c r="C124" s="39" t="s">
        <v>129</v>
      </c>
      <c r="D124" s="39" t="s">
        <v>456</v>
      </c>
      <c r="E124" s="5"/>
      <c r="F124" s="40">
        <v>295.95</v>
      </c>
      <c r="G124" s="5"/>
      <c r="H124" s="5"/>
      <c r="I124" s="5"/>
      <c r="J124" s="5"/>
      <c r="K124" s="5"/>
    </row>
    <row r="125" spans="1:11">
      <c r="A125" s="65" cm="1">
        <f t="array" ref="A125">IFERROR(INDEX('Master Vendor Data'!A:A, MATCH(TRUE, INDEX(TRIM('Master Vendor Data'!C:C)=TRIM(C125), 0), 0)), "")</f>
        <v>53</v>
      </c>
      <c r="B125" s="5" t="s">
        <v>128</v>
      </c>
      <c r="C125" s="39" t="s">
        <v>129</v>
      </c>
      <c r="D125" s="39" t="s">
        <v>457</v>
      </c>
      <c r="E125" s="5"/>
      <c r="F125" s="40">
        <v>793.55</v>
      </c>
      <c r="G125" s="5"/>
      <c r="H125" s="5"/>
      <c r="I125" s="5"/>
      <c r="J125" s="5"/>
      <c r="K125" s="5"/>
    </row>
    <row r="126" spans="1:11">
      <c r="A126" s="65" cm="1">
        <f t="array" ref="A126">IFERROR(INDEX('Master Vendor Data'!A:A, MATCH(TRUE, INDEX(TRIM('Master Vendor Data'!C:C)=TRIM(C126), 0), 0)), "")</f>
        <v>53</v>
      </c>
      <c r="B126" s="5" t="s">
        <v>128</v>
      </c>
      <c r="C126" s="39" t="s">
        <v>129</v>
      </c>
      <c r="D126" s="39" t="s">
        <v>428</v>
      </c>
      <c r="E126" s="5"/>
      <c r="F126" s="40">
        <v>156.73899999999998</v>
      </c>
      <c r="G126" s="5"/>
      <c r="H126" s="5"/>
      <c r="I126" s="5"/>
      <c r="J126" s="5"/>
      <c r="K126" s="5"/>
    </row>
    <row r="127" spans="1:11" hidden="1">
      <c r="A127" s="65" cm="1">
        <f t="array" ref="A127">IFERROR(INDEX('Master Vendor Data'!A:A, MATCH(TRUE, INDEX(TRIM('Master Vendor Data'!C:C)=TRIM(C127), 0), 0)), "")</f>
        <v>113</v>
      </c>
      <c r="B127" s="5" t="s">
        <v>128</v>
      </c>
      <c r="C127" s="39" t="s">
        <v>220</v>
      </c>
      <c r="D127" s="39" t="s">
        <v>428</v>
      </c>
      <c r="E127" s="5"/>
      <c r="F127" s="40">
        <v>20</v>
      </c>
      <c r="G127" s="5"/>
      <c r="H127" s="5"/>
      <c r="I127" s="5"/>
      <c r="J127" s="5"/>
      <c r="K127" s="5"/>
    </row>
    <row r="128" spans="1:11" hidden="1">
      <c r="A128" s="65" cm="1">
        <f t="array" ref="A128">IFERROR(INDEX('Master Vendor Data'!A:A, MATCH(TRUE, INDEX(TRIM('Master Vendor Data'!C:C)=TRIM(C128), 0), 0)), "")</f>
        <v>2</v>
      </c>
      <c r="B128" s="5" t="s">
        <v>17</v>
      </c>
      <c r="C128" s="39" t="s">
        <v>22</v>
      </c>
      <c r="D128" s="39" t="s">
        <v>458</v>
      </c>
      <c r="E128" s="5"/>
      <c r="F128" s="40">
        <v>1840</v>
      </c>
      <c r="G128" s="5"/>
      <c r="H128" s="5"/>
      <c r="I128" s="5"/>
      <c r="J128" s="5"/>
      <c r="K128" s="5"/>
    </row>
    <row r="129" spans="1:11" hidden="1">
      <c r="A129" s="65" cm="1">
        <f t="array" ref="A129">IFERROR(INDEX('Master Vendor Data'!A:A, MATCH(TRUE, INDEX(TRIM('Master Vendor Data'!C:C)=TRIM(C129), 0), 0)), "")</f>
        <v>6</v>
      </c>
      <c r="B129" s="5" t="s">
        <v>17</v>
      </c>
      <c r="C129" s="39" t="s">
        <v>28</v>
      </c>
      <c r="D129" s="39" t="s">
        <v>458</v>
      </c>
      <c r="E129" s="5"/>
      <c r="F129" s="40">
        <v>363</v>
      </c>
      <c r="G129" s="5"/>
      <c r="H129" s="5"/>
      <c r="I129" s="5"/>
      <c r="J129" s="5"/>
      <c r="K129" s="5"/>
    </row>
    <row r="130" spans="1:11" hidden="1">
      <c r="A130" s="65" cm="1">
        <f t="array" ref="A130">IFERROR(INDEX('Master Vendor Data'!A:A, MATCH(TRUE, INDEX(TRIM('Master Vendor Data'!C:C)=TRIM(C130), 0), 0)), "")</f>
        <v>2</v>
      </c>
      <c r="B130" s="5" t="s">
        <v>17</v>
      </c>
      <c r="C130" s="39" t="s">
        <v>22</v>
      </c>
      <c r="D130" s="39" t="s">
        <v>459</v>
      </c>
      <c r="E130" s="5"/>
      <c r="F130" s="40">
        <v>379</v>
      </c>
      <c r="G130" s="5"/>
      <c r="H130" s="5"/>
      <c r="I130" s="5"/>
      <c r="J130" s="5"/>
      <c r="K130" s="5"/>
    </row>
    <row r="131" spans="1:11" hidden="1">
      <c r="A131" s="65" cm="1">
        <f t="array" ref="A131">IFERROR(INDEX('Master Vendor Data'!A:A, MATCH(TRUE, INDEX(TRIM('Master Vendor Data'!C:C)=TRIM(C131), 0), 0)), "")</f>
        <v>6</v>
      </c>
      <c r="B131" s="5" t="s">
        <v>17</v>
      </c>
      <c r="C131" s="39" t="s">
        <v>28</v>
      </c>
      <c r="D131" s="39" t="s">
        <v>459</v>
      </c>
      <c r="E131" s="5"/>
      <c r="F131" s="40">
        <v>70</v>
      </c>
      <c r="G131" s="5"/>
      <c r="H131" s="5"/>
      <c r="I131" s="5"/>
      <c r="J131" s="5"/>
      <c r="K131" s="5"/>
    </row>
    <row r="132" spans="1:11" hidden="1">
      <c r="A132" s="65" cm="1">
        <f t="array" ref="A132">IFERROR(INDEX('Master Vendor Data'!A:A, MATCH(TRUE, INDEX(TRIM('Master Vendor Data'!C:C)=TRIM(C132), 0), 0)), "")</f>
        <v>2</v>
      </c>
      <c r="B132" s="5" t="s">
        <v>17</v>
      </c>
      <c r="C132" s="39" t="s">
        <v>22</v>
      </c>
      <c r="D132" s="39" t="s">
        <v>460</v>
      </c>
      <c r="E132" s="5"/>
      <c r="F132" s="40">
        <v>267</v>
      </c>
      <c r="G132" s="5"/>
      <c r="H132" s="5"/>
      <c r="I132" s="5"/>
      <c r="J132" s="5"/>
      <c r="K132" s="5"/>
    </row>
    <row r="133" spans="1:11" hidden="1">
      <c r="A133" s="65" cm="1">
        <f t="array" ref="A133">IFERROR(INDEX('Master Vendor Data'!A:A, MATCH(TRUE, INDEX(TRIM('Master Vendor Data'!C:C)=TRIM(C133), 0), 0)), "")</f>
        <v>6</v>
      </c>
      <c r="B133" s="5" t="s">
        <v>17</v>
      </c>
      <c r="C133" s="39" t="s">
        <v>28</v>
      </c>
      <c r="D133" s="39" t="s">
        <v>460</v>
      </c>
      <c r="E133" s="5"/>
      <c r="F133" s="40">
        <v>76</v>
      </c>
      <c r="G133" s="5"/>
      <c r="H133" s="5"/>
      <c r="I133" s="5"/>
      <c r="J133" s="5"/>
      <c r="K133" s="5"/>
    </row>
    <row r="134" spans="1:11" hidden="1">
      <c r="A134" s="65" cm="1">
        <f t="array" ref="A134">IFERROR(INDEX('Master Vendor Data'!A:A, MATCH(TRUE, INDEX(TRIM('Master Vendor Data'!C:C)=TRIM(C134), 0), 0)), "")</f>
        <v>6</v>
      </c>
      <c r="B134" s="5" t="s">
        <v>17</v>
      </c>
      <c r="C134" s="39" t="s">
        <v>28</v>
      </c>
      <c r="D134" s="39" t="s">
        <v>461</v>
      </c>
      <c r="E134" s="5"/>
      <c r="F134" s="40">
        <v>71</v>
      </c>
      <c r="G134" s="5"/>
      <c r="H134" s="5"/>
      <c r="I134" s="5"/>
      <c r="J134" s="5"/>
      <c r="K134" s="5"/>
    </row>
    <row r="135" spans="1:11" hidden="1">
      <c r="A135" s="65" cm="1">
        <f t="array" ref="A135">IFERROR(INDEX('Master Vendor Data'!A:A, MATCH(TRUE, INDEX(TRIM('Master Vendor Data'!C:C)=TRIM(C135), 0), 0)), "")</f>
        <v>4</v>
      </c>
      <c r="B135" s="5" t="s">
        <v>17</v>
      </c>
      <c r="C135" s="39" t="s">
        <v>26</v>
      </c>
      <c r="D135" s="39" t="s">
        <v>462</v>
      </c>
      <c r="E135" s="5"/>
      <c r="F135" s="40">
        <v>80</v>
      </c>
      <c r="G135" s="5"/>
      <c r="H135" s="5"/>
      <c r="I135" s="5"/>
      <c r="J135" s="5"/>
      <c r="K135" s="5"/>
    </row>
    <row r="136" spans="1:11" hidden="1">
      <c r="A136" s="65" cm="1">
        <f t="array" ref="A136">IFERROR(INDEX('Master Vendor Data'!A:A, MATCH(TRUE, INDEX(TRIM('Master Vendor Data'!C:C)=TRIM(C136), 0), 0)), "")</f>
        <v>10</v>
      </c>
      <c r="B136" s="5" t="s">
        <v>17</v>
      </c>
      <c r="C136" s="39" t="s">
        <v>36</v>
      </c>
      <c r="D136" s="39" t="s">
        <v>432</v>
      </c>
      <c r="E136" s="5"/>
      <c r="F136" s="3">
        <v>82</v>
      </c>
      <c r="G136" s="5"/>
      <c r="H136" s="5"/>
      <c r="I136" s="5"/>
      <c r="J136" s="5"/>
      <c r="K136" s="5"/>
    </row>
    <row r="137" spans="1:11" hidden="1">
      <c r="A137" s="65" cm="1">
        <f t="array" ref="A137">IFERROR(INDEX('Master Vendor Data'!A:A, MATCH(TRUE, INDEX(TRIM('Master Vendor Data'!C:C)=TRIM(C137), 0), 0)), "")</f>
        <v>114</v>
      </c>
      <c r="B137" s="5" t="s">
        <v>221</v>
      </c>
      <c r="C137" s="39" t="s">
        <v>222</v>
      </c>
      <c r="D137" s="39" t="s">
        <v>408</v>
      </c>
      <c r="E137" s="5"/>
      <c r="F137" s="5">
        <v>125</v>
      </c>
      <c r="G137" s="5"/>
      <c r="H137" s="5"/>
      <c r="I137" s="5"/>
      <c r="J137" s="5"/>
      <c r="K137" s="5"/>
    </row>
    <row r="138" spans="1:11" hidden="1">
      <c r="A138" s="65" cm="1">
        <f t="array" ref="A138">IFERROR(INDEX('Master Vendor Data'!A:A, MATCH(TRUE, INDEX(TRIM('Master Vendor Data'!C:C)=TRIM(C138), 0), 0)), "")</f>
        <v>115</v>
      </c>
      <c r="B138" s="14" t="s">
        <v>17</v>
      </c>
      <c r="C138" s="14" t="s">
        <v>223</v>
      </c>
      <c r="D138" s="14" t="s">
        <v>463</v>
      </c>
      <c r="E138" s="5"/>
      <c r="F138" s="5">
        <v>72</v>
      </c>
      <c r="G138" s="5"/>
      <c r="H138" s="5"/>
      <c r="I138" s="5"/>
      <c r="J138" s="5"/>
      <c r="K138" s="5"/>
    </row>
    <row r="139" spans="1:11" hidden="1">
      <c r="A139" s="65" cm="1">
        <f t="array" ref="A139">IFERROR(INDEX('Master Vendor Data'!A:A, MATCH(TRUE, INDEX(TRIM('Master Vendor Data'!C:C)=TRIM(C139), 0), 0)), "")</f>
        <v>9</v>
      </c>
      <c r="B139" s="14" t="s">
        <v>17</v>
      </c>
      <c r="C139" s="66" t="s">
        <v>33</v>
      </c>
      <c r="D139" s="14" t="s">
        <v>463</v>
      </c>
      <c r="E139" s="5"/>
      <c r="F139" s="5">
        <v>198</v>
      </c>
      <c r="G139" s="5"/>
      <c r="H139" s="5"/>
      <c r="I139" s="5"/>
      <c r="J139" s="5"/>
      <c r="K139" s="5"/>
    </row>
    <row r="140" spans="1:11" hidden="1">
      <c r="A140" s="65" cm="1">
        <f t="array" ref="A140">IFERROR(INDEX('Master Vendor Data'!A:A, MATCH(TRUE, INDEX(TRIM('Master Vendor Data'!C:C)=TRIM(C140), 0), 0)), "")</f>
        <v>116</v>
      </c>
      <c r="B140" s="14" t="s">
        <v>17</v>
      </c>
      <c r="C140" s="14" t="s">
        <v>224</v>
      </c>
      <c r="D140" s="14" t="s">
        <v>463</v>
      </c>
      <c r="E140" s="5"/>
      <c r="F140" s="5">
        <v>371</v>
      </c>
      <c r="G140" s="5"/>
      <c r="H140" s="5"/>
      <c r="I140" s="5"/>
      <c r="J140" s="5"/>
      <c r="K140" s="5"/>
    </row>
    <row r="141" spans="1:11" hidden="1">
      <c r="A141" s="65" cm="1">
        <f t="array" ref="A141">IFERROR(INDEX('Master Vendor Data'!A:A, MATCH(TRUE, INDEX(TRIM('Master Vendor Data'!C:C)=TRIM(C141), 0), 0)), "")</f>
        <v>9</v>
      </c>
      <c r="B141" s="14" t="s">
        <v>17</v>
      </c>
      <c r="C141" s="66" t="s">
        <v>33</v>
      </c>
      <c r="D141" s="14" t="s">
        <v>463</v>
      </c>
      <c r="E141" s="5"/>
      <c r="F141" s="5">
        <v>559</v>
      </c>
      <c r="G141" s="5"/>
      <c r="H141" s="5"/>
      <c r="I141" s="5"/>
      <c r="J141" s="5"/>
      <c r="K141" s="5"/>
    </row>
    <row r="142" spans="1:11" hidden="1">
      <c r="A142" s="65" cm="1">
        <f t="array" ref="A142">IFERROR(INDEX('Master Vendor Data'!A:A, MATCH(TRUE, INDEX(TRIM('Master Vendor Data'!C:C)=TRIM(C142), 0), 0)), "")</f>
        <v>117</v>
      </c>
      <c r="B142" s="14" t="s">
        <v>17</v>
      </c>
      <c r="C142" s="14" t="s">
        <v>225</v>
      </c>
      <c r="D142" s="14" t="s">
        <v>463</v>
      </c>
      <c r="E142" s="5"/>
      <c r="F142" s="5">
        <v>1068</v>
      </c>
      <c r="G142" s="5"/>
      <c r="H142" s="5"/>
      <c r="I142" s="5"/>
      <c r="J142" s="5"/>
      <c r="K142" s="5"/>
    </row>
    <row r="143" spans="1:11" hidden="1">
      <c r="A143" s="65" cm="1">
        <f t="array" ref="A143">IFERROR(INDEX('Master Vendor Data'!A:A, MATCH(TRUE, INDEX(TRIM('Master Vendor Data'!C:C)=TRIM(C143), 0), 0)), "")</f>
        <v>118</v>
      </c>
      <c r="B143" s="14" t="s">
        <v>17</v>
      </c>
      <c r="C143" s="14" t="s">
        <v>226</v>
      </c>
      <c r="D143" s="14" t="s">
        <v>464</v>
      </c>
      <c r="E143" s="5"/>
      <c r="F143" s="5">
        <v>294</v>
      </c>
      <c r="G143" s="5"/>
      <c r="H143" s="5"/>
      <c r="I143" s="5"/>
      <c r="J143" s="5"/>
      <c r="K143" s="5"/>
    </row>
    <row r="144" spans="1:11" hidden="1">
      <c r="A144" s="65" cm="1">
        <f t="array" ref="A144">IFERROR(INDEX('Master Vendor Data'!A:A, MATCH(TRUE, INDEX(TRIM('Master Vendor Data'!C:C)=TRIM(C144), 0), 0)), "")</f>
        <v>119</v>
      </c>
      <c r="B144" s="14" t="s">
        <v>17</v>
      </c>
      <c r="C144" s="14" t="s">
        <v>227</v>
      </c>
      <c r="D144" s="14" t="s">
        <v>464</v>
      </c>
      <c r="E144" s="5"/>
      <c r="F144" s="5">
        <v>361</v>
      </c>
      <c r="G144" s="5">
        <v>1</v>
      </c>
      <c r="H144" s="5"/>
      <c r="I144" s="5"/>
      <c r="J144" s="5"/>
      <c r="K144" s="5"/>
    </row>
    <row r="145" spans="1:11" hidden="1">
      <c r="A145" s="65" cm="1">
        <f t="array" ref="A145">IFERROR(INDEX('Master Vendor Data'!A:A, MATCH(TRUE, INDEX(TRIM('Master Vendor Data'!C:C)=TRIM(C145), 0), 0)), "")</f>
        <v>120</v>
      </c>
      <c r="B145" s="14" t="s">
        <v>17</v>
      </c>
      <c r="C145" s="14" t="s">
        <v>228</v>
      </c>
      <c r="D145" s="14" t="s">
        <v>465</v>
      </c>
      <c r="E145" s="5"/>
      <c r="F145" s="5">
        <v>2203</v>
      </c>
      <c r="G145" s="5"/>
      <c r="H145" s="5"/>
      <c r="I145" s="5"/>
      <c r="J145" s="5"/>
      <c r="K145" s="5"/>
    </row>
    <row r="146" spans="1:11" hidden="1">
      <c r="A146" s="65" cm="1">
        <f t="array" ref="A146">IFERROR(INDEX('Master Vendor Data'!A:A, MATCH(TRUE, INDEX(TRIM('Master Vendor Data'!C:C)=TRIM(C146), 0), 0)), "")</f>
        <v>121</v>
      </c>
      <c r="B146" s="14" t="s">
        <v>17</v>
      </c>
      <c r="C146" s="14" t="s">
        <v>229</v>
      </c>
      <c r="D146" s="14" t="s">
        <v>465</v>
      </c>
      <c r="E146" s="5"/>
      <c r="F146" s="5">
        <v>161</v>
      </c>
      <c r="G146" s="5"/>
      <c r="H146" s="5"/>
      <c r="I146" s="5"/>
      <c r="J146" s="5"/>
      <c r="K146" s="5"/>
    </row>
    <row r="147" spans="1:11" hidden="1">
      <c r="A147" s="65" cm="1">
        <f t="array" ref="A147">IFERROR(INDEX('Master Vendor Data'!A:A, MATCH(TRUE, INDEX(TRIM('Master Vendor Data'!C:C)=TRIM(C147), 0), 0)), "")</f>
        <v>120</v>
      </c>
      <c r="B147" s="14" t="s">
        <v>17</v>
      </c>
      <c r="C147" s="14" t="s">
        <v>228</v>
      </c>
      <c r="D147" s="14" t="s">
        <v>465</v>
      </c>
      <c r="E147" s="5"/>
      <c r="F147" s="5">
        <v>867</v>
      </c>
      <c r="G147" s="5"/>
      <c r="H147" s="5"/>
      <c r="I147" s="5"/>
      <c r="J147" s="5"/>
      <c r="K147" s="5"/>
    </row>
    <row r="148" spans="1:11" hidden="1">
      <c r="A148" s="65" cm="1">
        <f t="array" ref="A148">IFERROR(INDEX('Master Vendor Data'!A:A, MATCH(TRUE, INDEX(TRIM('Master Vendor Data'!C:C)=TRIM(C148), 0), 0)), "")</f>
        <v>77</v>
      </c>
      <c r="B148" s="14" t="s">
        <v>17</v>
      </c>
      <c r="C148" s="14" t="s">
        <v>180</v>
      </c>
      <c r="D148" s="14" t="s">
        <v>179</v>
      </c>
      <c r="E148" s="5"/>
      <c r="F148" s="5">
        <v>926</v>
      </c>
      <c r="G148" s="5"/>
      <c r="H148" s="5"/>
      <c r="I148" s="5"/>
      <c r="J148" s="5"/>
      <c r="K148" s="5"/>
    </row>
    <row r="149" spans="1:11" hidden="1">
      <c r="A149" s="65" cm="1">
        <f t="array" ref="A149">IFERROR(INDEX('Master Vendor Data'!A:A, MATCH(TRUE, INDEX(TRIM('Master Vendor Data'!C:C)=TRIM(C149), 0), 0)), "")</f>
        <v>122</v>
      </c>
      <c r="B149" s="14" t="s">
        <v>17</v>
      </c>
      <c r="C149" s="14" t="s">
        <v>230</v>
      </c>
      <c r="D149" s="14" t="s">
        <v>386</v>
      </c>
      <c r="E149" s="5"/>
      <c r="F149" s="5">
        <v>477</v>
      </c>
      <c r="G149" s="5"/>
      <c r="H149" s="5"/>
      <c r="I149" s="5"/>
      <c r="J149" s="5"/>
      <c r="K149" s="5"/>
    </row>
    <row r="150" spans="1:11" hidden="1">
      <c r="A150" s="65" cm="1">
        <f t="array" ref="A150">IFERROR(INDEX('Master Vendor Data'!A:A, MATCH(TRUE, INDEX(TRIM('Master Vendor Data'!C:C)=TRIM(C150), 0), 0)), "")</f>
        <v>77</v>
      </c>
      <c r="B150" s="14" t="s">
        <v>17</v>
      </c>
      <c r="C150" s="14" t="s">
        <v>180</v>
      </c>
      <c r="D150" s="14" t="s">
        <v>386</v>
      </c>
      <c r="E150" s="5"/>
      <c r="F150" s="5">
        <v>1679</v>
      </c>
      <c r="G150" s="5"/>
      <c r="H150" s="5"/>
      <c r="I150" s="5"/>
      <c r="J150" s="5"/>
      <c r="K150" s="5"/>
    </row>
    <row r="151" spans="1:11" hidden="1">
      <c r="A151" s="65" cm="1">
        <f t="array" ref="A151">IFERROR(INDEX('Master Vendor Data'!A:A, MATCH(TRUE, INDEX(TRIM('Master Vendor Data'!C:C)=TRIM(C151), 0), 0)), "")</f>
        <v>123</v>
      </c>
      <c r="B151" s="14" t="s">
        <v>17</v>
      </c>
      <c r="C151" s="14" t="s">
        <v>231</v>
      </c>
      <c r="D151" s="14" t="s">
        <v>386</v>
      </c>
      <c r="E151" s="5"/>
      <c r="F151" s="5">
        <v>1725</v>
      </c>
      <c r="G151" s="5"/>
      <c r="H151" s="5"/>
      <c r="I151" s="5"/>
      <c r="J151" s="5"/>
      <c r="K151" s="5"/>
    </row>
    <row r="152" spans="1:11" hidden="1">
      <c r="A152" s="65" cm="1">
        <f t="array" ref="A152">IFERROR(INDEX('Master Vendor Data'!A:A, MATCH(TRUE, INDEX(TRIM('Master Vendor Data'!C:C)=TRIM(C152), 0), 0)), "")</f>
        <v>77</v>
      </c>
      <c r="B152" s="14" t="s">
        <v>17</v>
      </c>
      <c r="C152" s="14" t="s">
        <v>180</v>
      </c>
      <c r="D152" s="14" t="s">
        <v>386</v>
      </c>
      <c r="E152" s="5"/>
      <c r="F152" s="5">
        <v>518</v>
      </c>
      <c r="G152" s="5"/>
      <c r="H152" s="5"/>
      <c r="I152" s="5"/>
      <c r="J152" s="5"/>
      <c r="K152" s="5"/>
    </row>
    <row r="153" spans="1:11" hidden="1">
      <c r="A153" s="65" cm="1">
        <f t="array" ref="A153">IFERROR(INDEX('Master Vendor Data'!A:A, MATCH(TRUE, INDEX(TRIM('Master Vendor Data'!C:C)=TRIM(C153), 0), 0)), "")</f>
        <v>124</v>
      </c>
      <c r="B153" s="14" t="s">
        <v>17</v>
      </c>
      <c r="C153" s="14" t="s">
        <v>232</v>
      </c>
      <c r="D153" s="14" t="s">
        <v>378</v>
      </c>
      <c r="E153" s="5"/>
      <c r="F153" s="5">
        <v>609</v>
      </c>
      <c r="G153" s="5"/>
      <c r="H153" s="5"/>
      <c r="I153" s="5"/>
      <c r="J153" s="5"/>
      <c r="K153" s="5"/>
    </row>
    <row r="154" spans="1:11" hidden="1">
      <c r="A154" s="65" cm="1">
        <f t="array" ref="A154">IFERROR(INDEX('Master Vendor Data'!A:A, MATCH(TRUE, INDEX(TRIM('Master Vendor Data'!C:C)=TRIM(C154), 0), 0)), "")</f>
        <v>125</v>
      </c>
      <c r="B154" s="14" t="s">
        <v>17</v>
      </c>
      <c r="C154" s="14" t="s">
        <v>233</v>
      </c>
      <c r="D154" s="14" t="s">
        <v>378</v>
      </c>
      <c r="E154" s="5"/>
      <c r="F154" s="5">
        <v>22</v>
      </c>
      <c r="G154" s="5"/>
      <c r="H154" s="5"/>
      <c r="I154" s="5"/>
      <c r="J154" s="5"/>
      <c r="K154" s="5"/>
    </row>
    <row r="155" spans="1:11" hidden="1">
      <c r="A155" s="65" cm="1">
        <f t="array" ref="A155">IFERROR(INDEX('Master Vendor Data'!A:A, MATCH(TRUE, INDEX(TRIM('Master Vendor Data'!C:C)=TRIM(C155), 0), 0)), "")</f>
        <v>77</v>
      </c>
      <c r="B155" s="14" t="s">
        <v>17</v>
      </c>
      <c r="C155" s="14" t="s">
        <v>180</v>
      </c>
      <c r="D155" s="14" t="s">
        <v>378</v>
      </c>
      <c r="E155" s="5"/>
      <c r="F155" s="5">
        <v>1098</v>
      </c>
      <c r="G155" s="5"/>
      <c r="H155" s="5"/>
      <c r="I155" s="5"/>
      <c r="J155" s="5"/>
      <c r="K155" s="5"/>
    </row>
    <row r="156" spans="1:11" hidden="1">
      <c r="A156" s="65" cm="1">
        <f t="array" ref="A156">IFERROR(INDEX('Master Vendor Data'!A:A, MATCH(TRUE, INDEX(TRIM('Master Vendor Data'!C:C)=TRIM(C156), 0), 0)), "")</f>
        <v>123</v>
      </c>
      <c r="B156" s="14" t="s">
        <v>17</v>
      </c>
      <c r="C156" s="14" t="s">
        <v>231</v>
      </c>
      <c r="D156" s="14" t="s">
        <v>378</v>
      </c>
      <c r="E156" s="5"/>
      <c r="F156" s="5">
        <v>1171</v>
      </c>
      <c r="G156" s="5"/>
      <c r="H156" s="5"/>
      <c r="I156" s="5"/>
      <c r="J156" s="5"/>
      <c r="K156" s="5"/>
    </row>
    <row r="157" spans="1:11" hidden="1">
      <c r="A157" s="65" cm="1">
        <f t="array" ref="A157">IFERROR(INDEX('Master Vendor Data'!A:A, MATCH(TRUE, INDEX(TRIM('Master Vendor Data'!C:C)=TRIM(C157), 0), 0)), "")</f>
        <v>126</v>
      </c>
      <c r="B157" s="14" t="s">
        <v>17</v>
      </c>
      <c r="C157" s="14" t="s">
        <v>234</v>
      </c>
      <c r="D157" s="14" t="s">
        <v>378</v>
      </c>
      <c r="E157" s="5"/>
      <c r="F157" s="5">
        <v>3</v>
      </c>
      <c r="G157" s="5"/>
      <c r="H157" s="5"/>
      <c r="I157" s="5"/>
      <c r="J157" s="5"/>
      <c r="K157" s="5"/>
    </row>
    <row r="158" spans="1:11" hidden="1">
      <c r="A158" s="65" cm="1">
        <f t="array" ref="A158">IFERROR(INDEX('Master Vendor Data'!A:A, MATCH(TRUE, INDEX(TRIM('Master Vendor Data'!C:C)=TRIM(C158), 0), 0)), "")</f>
        <v>127</v>
      </c>
      <c r="B158" s="14" t="s">
        <v>17</v>
      </c>
      <c r="C158" s="14" t="s">
        <v>235</v>
      </c>
      <c r="D158" s="14" t="s">
        <v>378</v>
      </c>
      <c r="E158" s="5"/>
      <c r="F158" s="5">
        <v>289</v>
      </c>
      <c r="G158" s="5"/>
      <c r="H158" s="5"/>
      <c r="I158" s="5"/>
      <c r="J158" s="5"/>
      <c r="K158" s="5"/>
    </row>
    <row r="159" spans="1:11" hidden="1">
      <c r="A159" s="65" cm="1">
        <f t="array" ref="A159">IFERROR(INDEX('Master Vendor Data'!A:A, MATCH(TRUE, INDEX(TRIM('Master Vendor Data'!C:C)=TRIM(C159), 0), 0)), "")</f>
        <v>128</v>
      </c>
      <c r="B159" s="14" t="s">
        <v>17</v>
      </c>
      <c r="C159" s="14" t="s">
        <v>236</v>
      </c>
      <c r="D159" s="14" t="s">
        <v>378</v>
      </c>
      <c r="E159" s="5"/>
      <c r="F159" s="5">
        <v>277</v>
      </c>
      <c r="G159" s="5"/>
      <c r="H159" s="5"/>
      <c r="I159" s="5"/>
      <c r="J159" s="5"/>
      <c r="K159" s="5"/>
    </row>
    <row r="160" spans="1:11" hidden="1">
      <c r="A160" s="65" cm="1">
        <f t="array" ref="A160">IFERROR(INDEX('Master Vendor Data'!A:A, MATCH(TRUE, INDEX(TRIM('Master Vendor Data'!C:C)=TRIM(C160), 0), 0)), "")</f>
        <v>119</v>
      </c>
      <c r="B160" s="14" t="s">
        <v>17</v>
      </c>
      <c r="C160" s="14" t="s">
        <v>227</v>
      </c>
      <c r="D160" s="14" t="s">
        <v>378</v>
      </c>
      <c r="E160" s="5"/>
      <c r="F160" s="5">
        <v>554</v>
      </c>
      <c r="G160" s="5"/>
      <c r="H160" s="5"/>
      <c r="I160" s="5"/>
      <c r="J160" s="5"/>
      <c r="K160" s="5"/>
    </row>
    <row r="161" spans="1:11" hidden="1">
      <c r="A161" s="65" cm="1">
        <f t="array" ref="A161">IFERROR(INDEX('Master Vendor Data'!A:A, MATCH(TRUE, INDEX(TRIM('Master Vendor Data'!C:C)=TRIM(C161), 0), 0)), "")</f>
        <v>128</v>
      </c>
      <c r="B161" s="14" t="s">
        <v>17</v>
      </c>
      <c r="C161" s="14" t="s">
        <v>237</v>
      </c>
      <c r="D161" s="14" t="s">
        <v>378</v>
      </c>
      <c r="E161" s="5"/>
      <c r="F161" s="5">
        <v>252</v>
      </c>
      <c r="G161" s="5"/>
      <c r="H161" s="5"/>
      <c r="I161" s="5"/>
      <c r="J161" s="5"/>
      <c r="K161" s="5"/>
    </row>
    <row r="162" spans="1:11" hidden="1">
      <c r="A162" s="65" cm="1">
        <f t="array" ref="A162">IFERROR(INDEX('Master Vendor Data'!A:A, MATCH(TRUE, INDEX(TRIM('Master Vendor Data'!C:C)=TRIM(C162), 0), 0)), "")</f>
        <v>130</v>
      </c>
      <c r="B162" s="14" t="s">
        <v>17</v>
      </c>
      <c r="C162" s="14" t="s">
        <v>238</v>
      </c>
      <c r="D162" s="14" t="s">
        <v>466</v>
      </c>
      <c r="E162" s="5"/>
      <c r="F162" s="5">
        <v>32</v>
      </c>
      <c r="G162" s="5"/>
      <c r="H162" s="5"/>
      <c r="I162" s="5"/>
      <c r="J162" s="5"/>
      <c r="K162" s="5"/>
    </row>
    <row r="163" spans="1:11" hidden="1">
      <c r="A163" s="65" cm="1">
        <f t="array" ref="A163">IFERROR(INDEX('Master Vendor Data'!A:A, MATCH(TRUE, INDEX(TRIM('Master Vendor Data'!C:C)=TRIM(C163), 0), 0)), "")</f>
        <v>5</v>
      </c>
      <c r="B163" s="14" t="s">
        <v>17</v>
      </c>
      <c r="C163" s="14" t="s">
        <v>27</v>
      </c>
      <c r="D163" s="14" t="s">
        <v>466</v>
      </c>
      <c r="E163" s="5"/>
      <c r="F163" s="5">
        <v>584</v>
      </c>
      <c r="G163" s="5"/>
      <c r="H163" s="5"/>
      <c r="I163" s="5"/>
      <c r="J163" s="5"/>
      <c r="K163" s="5"/>
    </row>
    <row r="164" spans="1:11" hidden="1">
      <c r="A164" s="65" cm="1">
        <f t="array" ref="A164">IFERROR(INDEX('Master Vendor Data'!A:A, MATCH(TRUE, INDEX(TRIM('Master Vendor Data'!C:C)=TRIM(C164), 0), 0)), "")</f>
        <v>85</v>
      </c>
      <c r="B164" s="14" t="s">
        <v>17</v>
      </c>
      <c r="C164" s="14" t="s">
        <v>191</v>
      </c>
      <c r="D164" s="14" t="s">
        <v>466</v>
      </c>
      <c r="E164" s="5"/>
      <c r="F164" s="5">
        <v>746</v>
      </c>
      <c r="G164" s="5"/>
      <c r="H164" s="5"/>
      <c r="I164" s="5"/>
      <c r="J164" s="5"/>
      <c r="K164" s="5"/>
    </row>
    <row r="165" spans="1:11" hidden="1">
      <c r="A165" s="65" cm="1">
        <f t="array" ref="A165">IFERROR(INDEX('Master Vendor Data'!A:A, MATCH(TRUE, INDEX(TRIM('Master Vendor Data'!C:C)=TRIM(C165), 0), 0)), "")</f>
        <v>14</v>
      </c>
      <c r="B165" s="14" t="s">
        <v>17</v>
      </c>
      <c r="C165" s="14" t="s">
        <v>239</v>
      </c>
      <c r="D165" s="14" t="s">
        <v>467</v>
      </c>
      <c r="E165" s="5"/>
      <c r="F165" s="5">
        <v>75</v>
      </c>
      <c r="G165" s="5"/>
      <c r="H165" s="5"/>
      <c r="I165" s="5"/>
      <c r="J165" s="5"/>
      <c r="K165" s="5"/>
    </row>
    <row r="166" spans="1:11" hidden="1">
      <c r="A166" s="65" cm="1">
        <f t="array" ref="A166">IFERROR(INDEX('Master Vendor Data'!A:A, MATCH(TRUE, INDEX(TRIM('Master Vendor Data'!C:C)=TRIM(C166), 0), 0)), "")</f>
        <v>85</v>
      </c>
      <c r="B166" s="14" t="s">
        <v>17</v>
      </c>
      <c r="C166" s="14" t="s">
        <v>240</v>
      </c>
      <c r="D166" s="14" t="s">
        <v>467</v>
      </c>
      <c r="E166" s="5"/>
      <c r="F166" s="5">
        <v>467</v>
      </c>
      <c r="G166" s="5"/>
      <c r="H166" s="5"/>
      <c r="I166" s="5"/>
      <c r="J166" s="5"/>
      <c r="K166" s="5"/>
    </row>
    <row r="167" spans="1:11" hidden="1">
      <c r="A167" s="65" cm="1">
        <f t="array" ref="A167">IFERROR(INDEX('Master Vendor Data'!A:A, MATCH(TRUE, INDEX(TRIM('Master Vendor Data'!C:C)=TRIM(C167), 0), 0)), "")</f>
        <v>14</v>
      </c>
      <c r="B167" s="14" t="s">
        <v>17</v>
      </c>
      <c r="C167" s="14" t="s">
        <v>239</v>
      </c>
      <c r="D167" s="14" t="s">
        <v>468</v>
      </c>
      <c r="E167" s="5"/>
      <c r="F167" s="5">
        <v>360</v>
      </c>
      <c r="G167" s="5"/>
      <c r="H167" s="5"/>
      <c r="I167" s="5"/>
      <c r="J167" s="5"/>
      <c r="K167" s="5"/>
    </row>
    <row r="168" spans="1:11" hidden="1">
      <c r="A168" s="65" cm="1">
        <f t="array" ref="A168">IFERROR(INDEX('Master Vendor Data'!A:A, MATCH(TRUE, INDEX(TRIM('Master Vendor Data'!C:C)=TRIM(C168), 0), 0)), "")</f>
        <v>133</v>
      </c>
      <c r="B168" s="14" t="s">
        <v>17</v>
      </c>
      <c r="C168" s="14" t="s">
        <v>241</v>
      </c>
      <c r="D168" s="14" t="s">
        <v>469</v>
      </c>
      <c r="E168" s="5"/>
      <c r="F168" s="5">
        <v>125</v>
      </c>
      <c r="G168" s="5"/>
      <c r="H168" s="5"/>
      <c r="I168" s="5"/>
      <c r="J168" s="5"/>
      <c r="K168" s="5"/>
    </row>
    <row r="169" spans="1:11" hidden="1">
      <c r="A169" s="65" cm="1">
        <f t="array" ref="A169">IFERROR(INDEX('Master Vendor Data'!A:A, MATCH(TRUE, INDEX(TRIM('Master Vendor Data'!C:C)=TRIM(C169), 0), 0)), "")</f>
        <v>134</v>
      </c>
      <c r="B169" s="14" t="s">
        <v>17</v>
      </c>
      <c r="C169" s="14" t="s">
        <v>242</v>
      </c>
      <c r="D169" s="14" t="s">
        <v>469</v>
      </c>
      <c r="E169" s="5"/>
      <c r="F169" s="5">
        <v>557</v>
      </c>
      <c r="G169" s="5"/>
      <c r="H169" s="5"/>
      <c r="I169" s="5"/>
      <c r="J169" s="5"/>
      <c r="K169" s="5"/>
    </row>
    <row r="170" spans="1:11" hidden="1">
      <c r="A170" s="65" cm="1">
        <f t="array" ref="A170">IFERROR(INDEX('Master Vendor Data'!A:A, MATCH(TRUE, INDEX(TRIM('Master Vendor Data'!C:C)=TRIM(C170), 0), 0)), "")</f>
        <v>47</v>
      </c>
      <c r="B170" s="14" t="s">
        <v>17</v>
      </c>
      <c r="C170" s="14" t="s">
        <v>470</v>
      </c>
      <c r="D170" s="14" t="s">
        <v>471</v>
      </c>
      <c r="E170" s="5"/>
      <c r="F170" s="5">
        <v>174</v>
      </c>
      <c r="G170" s="5"/>
      <c r="H170" s="5"/>
      <c r="I170" s="5"/>
      <c r="J170" s="5"/>
      <c r="K170" s="5"/>
    </row>
    <row r="171" spans="1:11" hidden="1">
      <c r="A171" s="65" cm="1">
        <f t="array" ref="A171">IFERROR(INDEX('Master Vendor Data'!A:A, MATCH(TRUE, INDEX(TRIM('Master Vendor Data'!C:C)=TRIM(C171), 0), 0)), "")</f>
        <v>9</v>
      </c>
      <c r="B171" s="14" t="s">
        <v>17</v>
      </c>
      <c r="C171" s="39" t="s">
        <v>33</v>
      </c>
      <c r="D171" s="14" t="s">
        <v>472</v>
      </c>
      <c r="E171" s="5"/>
      <c r="F171" s="5">
        <v>197</v>
      </c>
      <c r="G171" s="5"/>
      <c r="H171" s="5"/>
      <c r="I171" s="5"/>
      <c r="J171" s="5"/>
      <c r="K171" s="5"/>
    </row>
    <row r="172" spans="1:11" hidden="1">
      <c r="A172" s="65" cm="1">
        <f t="array" ref="A172">IFERROR(INDEX('Master Vendor Data'!A:A, MATCH(TRUE, INDEX(TRIM('Master Vendor Data'!C:C)=TRIM(C172), 0), 0)), "")</f>
        <v>135</v>
      </c>
      <c r="B172" s="14" t="s">
        <v>17</v>
      </c>
      <c r="C172" s="14" t="s">
        <v>243</v>
      </c>
      <c r="D172" s="14" t="s">
        <v>472</v>
      </c>
      <c r="E172" s="5"/>
      <c r="F172" s="5">
        <v>471</v>
      </c>
      <c r="G172" s="5"/>
      <c r="H172" s="5"/>
      <c r="I172" s="5"/>
      <c r="J172" s="5"/>
      <c r="K172" s="5"/>
    </row>
    <row r="173" spans="1:11" hidden="1">
      <c r="A173" s="65" cm="1">
        <f t="array" ref="A173">IFERROR(INDEX('Master Vendor Data'!A:A, MATCH(TRUE, INDEX(TRIM('Master Vendor Data'!C:C)=TRIM(C173), 0), 0)), "")</f>
        <v>136</v>
      </c>
      <c r="B173" s="14" t="s">
        <v>17</v>
      </c>
      <c r="C173" s="14" t="s">
        <v>244</v>
      </c>
      <c r="D173" s="14" t="s">
        <v>472</v>
      </c>
      <c r="E173" s="5"/>
      <c r="F173" s="5">
        <v>326</v>
      </c>
      <c r="G173" s="5"/>
      <c r="H173" s="5"/>
      <c r="I173" s="5"/>
      <c r="J173" s="5"/>
      <c r="K173" s="5"/>
    </row>
    <row r="174" spans="1:11" hidden="1">
      <c r="A174" s="65" cm="1">
        <f t="array" ref="A174">IFERROR(INDEX('Master Vendor Data'!A:A, MATCH(TRUE, INDEX(TRIM('Master Vendor Data'!C:C)=TRIM(C174), 0), 0)), "")</f>
        <v>137</v>
      </c>
      <c r="B174" s="14" t="s">
        <v>17</v>
      </c>
      <c r="C174" s="14" t="s">
        <v>245</v>
      </c>
      <c r="D174" s="14" t="s">
        <v>473</v>
      </c>
      <c r="E174" s="5"/>
      <c r="F174" s="5">
        <v>390</v>
      </c>
      <c r="G174" s="5"/>
      <c r="H174" s="5"/>
      <c r="I174" s="5"/>
      <c r="J174" s="5"/>
      <c r="K174" s="5"/>
    </row>
    <row r="175" spans="1:11" hidden="1">
      <c r="A175" s="65" cm="1">
        <f t="array" ref="A175">IFERROR(INDEX('Master Vendor Data'!A:A, MATCH(TRUE, INDEX(TRIM('Master Vendor Data'!C:C)=TRIM(C175), 0), 0)), "")</f>
        <v>9</v>
      </c>
      <c r="B175" s="14" t="s">
        <v>17</v>
      </c>
      <c r="C175" s="39" t="s">
        <v>33</v>
      </c>
      <c r="D175" s="14" t="s">
        <v>473</v>
      </c>
      <c r="E175" s="5"/>
      <c r="F175" s="5">
        <v>147</v>
      </c>
      <c r="G175" s="5"/>
      <c r="H175" s="5"/>
      <c r="I175" s="5"/>
      <c r="J175" s="5"/>
      <c r="K175" s="5"/>
    </row>
    <row r="176" spans="1:11" hidden="1">
      <c r="A176" s="65" cm="1">
        <f t="array" ref="A176">IFERROR(INDEX('Master Vendor Data'!A:A, MATCH(TRUE, INDEX(TRIM('Master Vendor Data'!C:C)=TRIM(C176), 0), 0)), "")</f>
        <v>138</v>
      </c>
      <c r="B176" s="14" t="s">
        <v>17</v>
      </c>
      <c r="C176" s="14" t="s">
        <v>246</v>
      </c>
      <c r="D176" s="14" t="s">
        <v>473</v>
      </c>
      <c r="E176" s="5"/>
      <c r="F176" s="5">
        <v>554</v>
      </c>
      <c r="G176" s="5"/>
      <c r="H176" s="5"/>
      <c r="I176" s="5"/>
      <c r="J176" s="5"/>
      <c r="K176" s="5"/>
    </row>
    <row r="177" spans="1:11" hidden="1">
      <c r="A177" s="65" cm="1">
        <f t="array" ref="A177">IFERROR(INDEX('Master Vendor Data'!A:A, MATCH(TRUE, INDEX(TRIM('Master Vendor Data'!C:C)=TRIM(C177), 0), 0)), "")</f>
        <v>135</v>
      </c>
      <c r="B177" s="14" t="s">
        <v>17</v>
      </c>
      <c r="C177" s="14" t="s">
        <v>243</v>
      </c>
      <c r="D177" s="14" t="s">
        <v>473</v>
      </c>
      <c r="E177" s="5"/>
      <c r="F177" s="5">
        <v>523</v>
      </c>
      <c r="G177" s="5"/>
      <c r="H177" s="5"/>
      <c r="I177" s="5"/>
      <c r="J177" s="5"/>
      <c r="K177" s="5"/>
    </row>
    <row r="178" spans="1:11" hidden="1">
      <c r="A178" s="65" cm="1">
        <f t="array" ref="A178">IFERROR(INDEX('Master Vendor Data'!A:A, MATCH(TRUE, INDEX(TRIM('Master Vendor Data'!C:C)=TRIM(C178), 0), 0)), "")</f>
        <v>139</v>
      </c>
      <c r="B178" s="14" t="s">
        <v>17</v>
      </c>
      <c r="C178" s="14" t="s">
        <v>247</v>
      </c>
      <c r="D178" s="14" t="s">
        <v>474</v>
      </c>
      <c r="E178" s="5"/>
      <c r="F178" s="5">
        <v>238</v>
      </c>
      <c r="G178" s="5"/>
      <c r="H178" s="5"/>
      <c r="I178" s="5"/>
      <c r="J178" s="5"/>
      <c r="K178" s="5"/>
    </row>
    <row r="179" spans="1:11" hidden="1">
      <c r="A179" s="65" cm="1">
        <f t="array" ref="A179">IFERROR(INDEX('Master Vendor Data'!A:A, MATCH(TRUE, INDEX(TRIM('Master Vendor Data'!C:C)=TRIM(C179), 0), 0)), "")</f>
        <v>9</v>
      </c>
      <c r="B179" s="14" t="s">
        <v>17</v>
      </c>
      <c r="C179" s="39" t="s">
        <v>33</v>
      </c>
      <c r="D179" s="14" t="s">
        <v>474</v>
      </c>
      <c r="E179" s="5"/>
      <c r="F179" s="5">
        <v>161</v>
      </c>
      <c r="G179" s="5"/>
      <c r="H179" s="5"/>
      <c r="I179" s="5"/>
      <c r="J179" s="5"/>
      <c r="K179" s="5"/>
    </row>
    <row r="180" spans="1:11" hidden="1">
      <c r="A180" s="65" cm="1">
        <f t="array" ref="A180">IFERROR(INDEX('Master Vendor Data'!A:A, MATCH(TRUE, INDEX(TRIM('Master Vendor Data'!C:C)=TRIM(C180), 0), 0)), "")</f>
        <v>140</v>
      </c>
      <c r="B180" s="14" t="s">
        <v>17</v>
      </c>
      <c r="C180" s="14" t="s">
        <v>248</v>
      </c>
      <c r="D180" s="14" t="s">
        <v>474</v>
      </c>
      <c r="E180" s="5"/>
      <c r="F180" s="5">
        <v>72</v>
      </c>
      <c r="G180" s="5"/>
      <c r="H180" s="5"/>
      <c r="I180" s="5"/>
      <c r="J180" s="5"/>
      <c r="K180" s="5"/>
    </row>
    <row r="181" spans="1:11" hidden="1">
      <c r="A181" s="65" cm="1">
        <f t="array" ref="A181">IFERROR(INDEX('Master Vendor Data'!A:A, MATCH(TRUE, INDEX(TRIM('Master Vendor Data'!C:C)=TRIM(C181), 0), 0)), "")</f>
        <v>141</v>
      </c>
      <c r="B181" s="14" t="s">
        <v>17</v>
      </c>
      <c r="C181" s="14" t="s">
        <v>249</v>
      </c>
      <c r="D181" s="14" t="s">
        <v>381</v>
      </c>
      <c r="E181" s="5"/>
      <c r="F181" s="5">
        <v>260</v>
      </c>
      <c r="G181" s="5"/>
      <c r="H181" s="5"/>
      <c r="I181" s="5"/>
      <c r="J181" s="5"/>
      <c r="K181" s="5"/>
    </row>
    <row r="182" spans="1:11" hidden="1">
      <c r="A182" s="65" cm="1">
        <f t="array" ref="A182">IFERROR(INDEX('Master Vendor Data'!A:A, MATCH(TRUE, INDEX(TRIM('Master Vendor Data'!C:C)=TRIM(C182), 0), 0)), "")</f>
        <v>142</v>
      </c>
      <c r="B182" s="14" t="s">
        <v>17</v>
      </c>
      <c r="C182" s="14" t="s">
        <v>250</v>
      </c>
      <c r="D182" s="14" t="s">
        <v>381</v>
      </c>
      <c r="E182" s="5"/>
      <c r="F182" s="5">
        <v>107</v>
      </c>
      <c r="G182" s="5"/>
      <c r="H182" s="5"/>
      <c r="I182" s="5"/>
      <c r="J182" s="5"/>
      <c r="K182" s="5"/>
    </row>
    <row r="183" spans="1:11" hidden="1">
      <c r="A183" s="65" cm="1">
        <f t="array" ref="A183">IFERROR(INDEX('Master Vendor Data'!A:A, MATCH(TRUE, INDEX(TRIM('Master Vendor Data'!C:C)=TRIM(C183), 0), 0)), "")</f>
        <v>78</v>
      </c>
      <c r="B183" s="14" t="s">
        <v>17</v>
      </c>
      <c r="C183" s="39" t="s">
        <v>182</v>
      </c>
      <c r="D183" s="14" t="s">
        <v>381</v>
      </c>
      <c r="E183" s="5"/>
      <c r="F183" s="5">
        <v>428</v>
      </c>
      <c r="G183" s="5"/>
      <c r="H183" s="5"/>
      <c r="I183" s="5"/>
      <c r="J183" s="5"/>
      <c r="K183" s="5"/>
    </row>
    <row r="184" spans="1:11" hidden="1">
      <c r="A184" s="65" cm="1">
        <f t="array" ref="A184">IFERROR(INDEX('Master Vendor Data'!A:A, MATCH(TRUE, INDEX(TRIM('Master Vendor Data'!C:C)=TRIM(C184), 0), 0)), "")</f>
        <v>9</v>
      </c>
      <c r="B184" s="14" t="s">
        <v>17</v>
      </c>
      <c r="C184" s="39" t="s">
        <v>33</v>
      </c>
      <c r="D184" s="14" t="s">
        <v>381</v>
      </c>
      <c r="E184" s="5"/>
      <c r="F184" s="5">
        <v>1951</v>
      </c>
      <c r="G184" s="5"/>
      <c r="H184" s="5"/>
      <c r="I184" s="5"/>
      <c r="J184" s="5"/>
      <c r="K184" s="5"/>
    </row>
    <row r="185" spans="1:11" hidden="1">
      <c r="A185" s="65" cm="1">
        <f t="array" ref="A185">IFERROR(INDEX('Master Vendor Data'!A:A, MATCH(TRUE, INDEX(TRIM('Master Vendor Data'!C:C)=TRIM(C185), 0), 0)), "")</f>
        <v>140</v>
      </c>
      <c r="B185" s="14" t="s">
        <v>17</v>
      </c>
      <c r="C185" s="14" t="s">
        <v>248</v>
      </c>
      <c r="D185" s="14" t="s">
        <v>381</v>
      </c>
      <c r="E185" s="5"/>
      <c r="F185" s="5">
        <v>2128</v>
      </c>
      <c r="G185" s="5"/>
      <c r="H185" s="5"/>
      <c r="I185" s="5"/>
      <c r="J185" s="5"/>
      <c r="K185" s="5"/>
    </row>
    <row r="186" spans="1:11" hidden="1">
      <c r="A186" s="65" cm="1">
        <f t="array" ref="A186">IFERROR(INDEX('Master Vendor Data'!A:A, MATCH(TRUE, INDEX(TRIM('Master Vendor Data'!C:C)=TRIM(C186), 0), 0)), "")</f>
        <v>143</v>
      </c>
      <c r="B186" s="14" t="s">
        <v>17</v>
      </c>
      <c r="C186" s="14" t="s">
        <v>251</v>
      </c>
      <c r="D186" s="14" t="s">
        <v>381</v>
      </c>
      <c r="E186" s="5"/>
      <c r="F186" s="5">
        <v>90</v>
      </c>
      <c r="G186" s="5"/>
      <c r="H186" s="5"/>
      <c r="I186" s="5"/>
      <c r="J186" s="5"/>
      <c r="K186" s="5"/>
    </row>
    <row r="187" spans="1:11" hidden="1">
      <c r="A187" s="65" cm="1">
        <f t="array" ref="A187">IFERROR(INDEX('Master Vendor Data'!A:A, MATCH(TRUE, INDEX(TRIM('Master Vendor Data'!C:C)=TRIM(C187), 0), 0)), "")</f>
        <v>144</v>
      </c>
      <c r="B187" s="14" t="s">
        <v>17</v>
      </c>
      <c r="C187" s="14" t="s">
        <v>252</v>
      </c>
      <c r="D187" s="14" t="s">
        <v>381</v>
      </c>
      <c r="E187" s="5"/>
      <c r="F187" s="5">
        <v>1</v>
      </c>
      <c r="G187" s="5"/>
      <c r="H187" s="5"/>
      <c r="I187" s="5"/>
      <c r="J187" s="5"/>
      <c r="K187" s="5"/>
    </row>
    <row r="188" spans="1:11" hidden="1">
      <c r="A188" s="65" cm="1">
        <f t="array" ref="A188">IFERROR(INDEX('Master Vendor Data'!A:A, MATCH(TRUE, INDEX(TRIM('Master Vendor Data'!C:C)=TRIM(C188), 0), 0)), "")</f>
        <v>98</v>
      </c>
      <c r="B188" s="14" t="s">
        <v>17</v>
      </c>
      <c r="C188" s="14" t="s">
        <v>253</v>
      </c>
      <c r="D188" s="14" t="s">
        <v>381</v>
      </c>
      <c r="E188" s="5"/>
      <c r="F188" s="5">
        <v>456</v>
      </c>
      <c r="G188" s="5"/>
      <c r="H188" s="5"/>
      <c r="I188" s="5"/>
      <c r="J188" s="5"/>
      <c r="K188" s="5"/>
    </row>
    <row r="189" spans="1:11" hidden="1">
      <c r="A189" s="65" cm="1">
        <f t="array" ref="A189">IFERROR(INDEX('Master Vendor Data'!A:A, MATCH(TRUE, INDEX(TRIM('Master Vendor Data'!C:C)=TRIM(C189), 0), 0)), "")</f>
        <v>146</v>
      </c>
      <c r="B189" s="14" t="s">
        <v>17</v>
      </c>
      <c r="C189" s="14" t="s">
        <v>254</v>
      </c>
      <c r="D189" s="14" t="s">
        <v>381</v>
      </c>
      <c r="E189" s="5"/>
      <c r="F189" s="5">
        <v>488</v>
      </c>
      <c r="G189" s="5"/>
      <c r="H189" s="5"/>
      <c r="I189" s="5"/>
      <c r="J189" s="5"/>
      <c r="K189" s="5"/>
    </row>
    <row r="190" spans="1:11" hidden="1">
      <c r="A190" s="65" cm="1">
        <f t="array" ref="A190">IFERROR(INDEX('Master Vendor Data'!A:A, MATCH(TRUE, INDEX(TRIM('Master Vendor Data'!C:C)=TRIM(C190), 0), 0)), "")</f>
        <v>128</v>
      </c>
      <c r="B190" s="14" t="s">
        <v>17</v>
      </c>
      <c r="C190" s="14" t="s">
        <v>236</v>
      </c>
      <c r="D190" s="14" t="s">
        <v>381</v>
      </c>
      <c r="E190" s="5"/>
      <c r="F190" s="5">
        <v>190</v>
      </c>
      <c r="G190" s="5"/>
      <c r="H190" s="5"/>
      <c r="I190" s="5"/>
      <c r="J190" s="5"/>
      <c r="K190" s="5"/>
    </row>
    <row r="191" spans="1:11" hidden="1">
      <c r="A191" s="65" cm="1">
        <f t="array" ref="A191">IFERROR(INDEX('Master Vendor Data'!A:A, MATCH(TRUE, INDEX(TRIM('Master Vendor Data'!C:C)=TRIM(C191), 0), 0)), "")</f>
        <v>144</v>
      </c>
      <c r="B191" s="14" t="s">
        <v>17</v>
      </c>
      <c r="C191" s="14" t="s">
        <v>252</v>
      </c>
      <c r="D191" s="14" t="s">
        <v>381</v>
      </c>
      <c r="E191" s="5"/>
      <c r="F191" s="5">
        <v>359</v>
      </c>
      <c r="G191" s="5"/>
      <c r="H191" s="5"/>
      <c r="I191" s="5"/>
      <c r="J191" s="5"/>
      <c r="K191" s="5"/>
    </row>
    <row r="192" spans="1:11" hidden="1">
      <c r="A192" s="65" cm="1">
        <f t="array" ref="A192">IFERROR(INDEX('Master Vendor Data'!A:A, MATCH(TRUE, INDEX(TRIM('Master Vendor Data'!C:C)=TRIM(C192), 0), 0)), "")</f>
        <v>78</v>
      </c>
      <c r="B192" s="14" t="s">
        <v>17</v>
      </c>
      <c r="C192" s="39" t="s">
        <v>182</v>
      </c>
      <c r="D192" s="14" t="s">
        <v>382</v>
      </c>
      <c r="E192" s="5"/>
      <c r="F192" s="5">
        <v>310</v>
      </c>
      <c r="G192" s="5"/>
      <c r="H192" s="5"/>
      <c r="I192" s="5"/>
      <c r="J192" s="5"/>
      <c r="K192" s="5"/>
    </row>
    <row r="193" spans="1:11" hidden="1">
      <c r="A193" s="65" cm="1">
        <f t="array" ref="A193">IFERROR(INDEX('Master Vendor Data'!A:A, MATCH(TRUE, INDEX(TRIM('Master Vendor Data'!C:C)=TRIM(C193), 0), 0)), "")</f>
        <v>147</v>
      </c>
      <c r="B193" s="14" t="s">
        <v>17</v>
      </c>
      <c r="C193" s="14" t="s">
        <v>255</v>
      </c>
      <c r="D193" s="14" t="s">
        <v>382</v>
      </c>
      <c r="E193" s="5"/>
      <c r="F193" s="5">
        <v>1228</v>
      </c>
      <c r="G193" s="5"/>
      <c r="H193" s="5"/>
      <c r="I193" s="5"/>
      <c r="J193" s="5"/>
      <c r="K193" s="5"/>
    </row>
    <row r="194" spans="1:11" hidden="1">
      <c r="A194" s="65" cm="1">
        <f t="array" ref="A194">IFERROR(INDEX('Master Vendor Data'!A:A, MATCH(TRUE, INDEX(TRIM('Master Vendor Data'!C:C)=TRIM(C194), 0), 0)), "")</f>
        <v>148</v>
      </c>
      <c r="B194" s="14" t="s">
        <v>17</v>
      </c>
      <c r="C194" s="14" t="s">
        <v>256</v>
      </c>
      <c r="D194" s="14" t="s">
        <v>382</v>
      </c>
      <c r="E194" s="5"/>
      <c r="F194" s="5">
        <v>184</v>
      </c>
      <c r="G194" s="5"/>
      <c r="H194" s="5"/>
      <c r="I194" s="5"/>
      <c r="J194" s="5"/>
      <c r="K194" s="5"/>
    </row>
    <row r="195" spans="1:11" hidden="1">
      <c r="A195" s="65" cm="1">
        <f t="array" ref="A195">IFERROR(INDEX('Master Vendor Data'!A:A, MATCH(TRUE, INDEX(TRIM('Master Vendor Data'!C:C)=TRIM(C195), 0), 0)), "")</f>
        <v>149</v>
      </c>
      <c r="B195" s="14" t="s">
        <v>17</v>
      </c>
      <c r="C195" s="14" t="s">
        <v>257</v>
      </c>
      <c r="D195" s="14" t="s">
        <v>382</v>
      </c>
      <c r="E195" s="5"/>
      <c r="F195" s="5">
        <v>45</v>
      </c>
      <c r="G195" s="5"/>
      <c r="H195" s="5"/>
      <c r="I195" s="5"/>
      <c r="J195" s="5"/>
      <c r="K195" s="5"/>
    </row>
    <row r="196" spans="1:11" hidden="1">
      <c r="A196" s="65" cm="1">
        <f t="array" ref="A196">IFERROR(INDEX('Master Vendor Data'!A:A, MATCH(TRUE, INDEX(TRIM('Master Vendor Data'!C:C)=TRIM(C196), 0), 0)), "")</f>
        <v>150</v>
      </c>
      <c r="B196" s="14" t="s">
        <v>17</v>
      </c>
      <c r="C196" s="14" t="s">
        <v>258</v>
      </c>
      <c r="D196" s="14" t="s">
        <v>382</v>
      </c>
      <c r="E196" s="5"/>
      <c r="F196" s="5">
        <v>149</v>
      </c>
      <c r="G196" s="5"/>
      <c r="H196" s="5"/>
      <c r="I196" s="5"/>
      <c r="J196" s="5"/>
      <c r="K196" s="5"/>
    </row>
    <row r="197" spans="1:11" hidden="1">
      <c r="A197" s="65" cm="1">
        <f t="array" ref="A197">IFERROR(INDEX('Master Vendor Data'!A:A, MATCH(TRUE, INDEX(TRIM('Master Vendor Data'!C:C)=TRIM(C197), 0), 0)), "")</f>
        <v>139</v>
      </c>
      <c r="B197" s="14" t="s">
        <v>17</v>
      </c>
      <c r="C197" s="14" t="s">
        <v>247</v>
      </c>
      <c r="D197" s="14" t="s">
        <v>382</v>
      </c>
      <c r="E197" s="5"/>
      <c r="F197" s="5">
        <v>271</v>
      </c>
      <c r="G197" s="5"/>
      <c r="H197" s="5"/>
      <c r="I197" s="5"/>
      <c r="J197" s="5"/>
      <c r="K197" s="5"/>
    </row>
    <row r="198" spans="1:11" hidden="1">
      <c r="A198" s="65" cm="1">
        <f t="array" ref="A198">IFERROR(INDEX('Master Vendor Data'!A:A, MATCH(TRUE, INDEX(TRIM('Master Vendor Data'!C:C)=TRIM(C198), 0), 0)), "")</f>
        <v>9</v>
      </c>
      <c r="B198" s="14" t="s">
        <v>17</v>
      </c>
      <c r="C198" s="39" t="s">
        <v>33</v>
      </c>
      <c r="D198" s="14" t="s">
        <v>382</v>
      </c>
      <c r="E198" s="5"/>
      <c r="F198" s="5">
        <v>684</v>
      </c>
      <c r="G198" s="5"/>
      <c r="H198" s="5"/>
      <c r="I198" s="5"/>
      <c r="J198" s="5"/>
      <c r="K198" s="5"/>
    </row>
    <row r="199" spans="1:11" hidden="1">
      <c r="A199" s="65" cm="1">
        <f t="array" ref="A199">IFERROR(INDEX('Master Vendor Data'!A:A, MATCH(TRUE, INDEX(TRIM('Master Vendor Data'!C:C)=TRIM(C199), 0), 0)), "")</f>
        <v>140</v>
      </c>
      <c r="B199" s="14" t="s">
        <v>17</v>
      </c>
      <c r="C199" s="14" t="s">
        <v>248</v>
      </c>
      <c r="D199" s="14" t="s">
        <v>382</v>
      </c>
      <c r="E199" s="5"/>
      <c r="F199" s="5">
        <v>1388</v>
      </c>
      <c r="G199" s="5"/>
      <c r="H199" s="5"/>
      <c r="I199" s="5"/>
      <c r="J199" s="5"/>
      <c r="K199" s="5"/>
    </row>
    <row r="200" spans="1:11" hidden="1">
      <c r="A200" s="65" cm="1">
        <f t="array" ref="A200">IFERROR(INDEX('Master Vendor Data'!A:A, MATCH(TRUE, INDEX(TRIM('Master Vendor Data'!C:C)=TRIM(C200), 0), 0)), "")</f>
        <v>151</v>
      </c>
      <c r="B200" s="14" t="s">
        <v>17</v>
      </c>
      <c r="C200" s="14" t="s">
        <v>259</v>
      </c>
      <c r="D200" s="14" t="s">
        <v>382</v>
      </c>
      <c r="E200" s="5"/>
      <c r="F200" s="5">
        <v>338</v>
      </c>
      <c r="G200" s="5"/>
      <c r="H200" s="5"/>
      <c r="I200" s="5"/>
      <c r="J200" s="5"/>
      <c r="K200" s="5"/>
    </row>
    <row r="201" spans="1:11" hidden="1">
      <c r="A201" s="65" cm="1">
        <f t="array" ref="A201">IFERROR(INDEX('Master Vendor Data'!A:A, MATCH(TRUE, INDEX(TRIM('Master Vendor Data'!C:C)=TRIM(C201), 0), 0)), "")</f>
        <v>98</v>
      </c>
      <c r="B201" s="14" t="s">
        <v>17</v>
      </c>
      <c r="C201" s="14" t="s">
        <v>253</v>
      </c>
      <c r="D201" s="14" t="s">
        <v>382</v>
      </c>
      <c r="E201" s="5"/>
      <c r="F201" s="5">
        <v>896</v>
      </c>
      <c r="G201" s="5"/>
      <c r="H201" s="5"/>
      <c r="I201" s="5"/>
      <c r="J201" s="5"/>
      <c r="K201" s="5"/>
    </row>
    <row r="202" spans="1:11" hidden="1">
      <c r="A202" s="65" cm="1">
        <f t="array" ref="A202">IFERROR(INDEX('Master Vendor Data'!A:A, MATCH(TRUE, INDEX(TRIM('Master Vendor Data'!C:C)=TRIM(C202), 0), 0)), "")</f>
        <v>146</v>
      </c>
      <c r="B202" s="14" t="s">
        <v>17</v>
      </c>
      <c r="C202" s="14" t="s">
        <v>254</v>
      </c>
      <c r="D202" s="14" t="s">
        <v>382</v>
      </c>
      <c r="E202" s="5"/>
      <c r="F202" s="5">
        <v>451</v>
      </c>
      <c r="G202" s="5"/>
      <c r="H202" s="5"/>
      <c r="I202" s="5"/>
      <c r="J202" s="5"/>
      <c r="K202" s="5"/>
    </row>
    <row r="203" spans="1:11" hidden="1">
      <c r="A203" s="65" cm="1">
        <f t="array" ref="A203">IFERROR(INDEX('Master Vendor Data'!A:A, MATCH(TRUE, INDEX(TRIM('Master Vendor Data'!C:C)=TRIM(C203), 0), 0)), "")</f>
        <v>152</v>
      </c>
      <c r="B203" s="14" t="s">
        <v>17</v>
      </c>
      <c r="C203" s="14" t="s">
        <v>260</v>
      </c>
      <c r="D203" s="14" t="s">
        <v>382</v>
      </c>
      <c r="E203" s="5"/>
      <c r="F203" s="5">
        <v>81</v>
      </c>
      <c r="G203" s="5"/>
      <c r="H203" s="5"/>
      <c r="I203" s="5"/>
      <c r="J203" s="5"/>
      <c r="K203" s="5"/>
    </row>
    <row r="204" spans="1:11" hidden="1">
      <c r="A204" s="65" cm="1">
        <f t="array" ref="A204">IFERROR(INDEX('Master Vendor Data'!A:A, MATCH(TRUE, INDEX(TRIM('Master Vendor Data'!C:C)=TRIM(C204), 0), 0)), "")</f>
        <v>128</v>
      </c>
      <c r="B204" s="14" t="s">
        <v>17</v>
      </c>
      <c r="C204" s="14" t="s">
        <v>236</v>
      </c>
      <c r="D204" s="14" t="s">
        <v>382</v>
      </c>
      <c r="E204" s="5"/>
      <c r="F204" s="5">
        <v>359</v>
      </c>
      <c r="G204" s="5"/>
      <c r="H204" s="5"/>
      <c r="I204" s="5"/>
      <c r="J204" s="5"/>
      <c r="K204" s="5"/>
    </row>
    <row r="205" spans="1:11" hidden="1">
      <c r="A205" s="65" cm="1">
        <f t="array" ref="A205">IFERROR(INDEX('Master Vendor Data'!A:A, MATCH(TRUE, INDEX(TRIM('Master Vendor Data'!C:C)=TRIM(C205), 0), 0)), "")</f>
        <v>147</v>
      </c>
      <c r="B205" s="14" t="s">
        <v>17</v>
      </c>
      <c r="C205" s="14" t="s">
        <v>255</v>
      </c>
      <c r="D205" s="14" t="s">
        <v>475</v>
      </c>
      <c r="E205" s="5"/>
      <c r="F205" s="5">
        <v>1622</v>
      </c>
      <c r="G205" s="5"/>
      <c r="H205" s="5"/>
      <c r="I205" s="5"/>
      <c r="J205" s="5"/>
      <c r="K205" s="5"/>
    </row>
    <row r="206" spans="1:11" hidden="1">
      <c r="A206" s="65" cm="1">
        <f t="array" ref="A206">IFERROR(INDEX('Master Vendor Data'!A:A, MATCH(TRUE, INDEX(TRIM('Master Vendor Data'!C:C)=TRIM(C206), 0), 0)), "")</f>
        <v>139</v>
      </c>
      <c r="B206" s="14" t="s">
        <v>17</v>
      </c>
      <c r="C206" s="14" t="s">
        <v>247</v>
      </c>
      <c r="D206" s="14" t="s">
        <v>475</v>
      </c>
      <c r="E206" s="5"/>
      <c r="F206" s="5">
        <v>535</v>
      </c>
      <c r="G206" s="5"/>
      <c r="H206" s="5"/>
      <c r="I206" s="5"/>
      <c r="J206" s="5"/>
      <c r="K206" s="5"/>
    </row>
    <row r="207" spans="1:11" hidden="1">
      <c r="A207" s="65" cm="1">
        <f t="array" ref="A207">IFERROR(INDEX('Master Vendor Data'!A:A, MATCH(TRUE, INDEX(TRIM('Master Vendor Data'!C:C)=TRIM(C207), 0), 0)), "")</f>
        <v>9</v>
      </c>
      <c r="B207" s="14" t="s">
        <v>17</v>
      </c>
      <c r="C207" s="39" t="s">
        <v>33</v>
      </c>
      <c r="D207" s="14" t="s">
        <v>475</v>
      </c>
      <c r="E207" s="5"/>
      <c r="F207" s="5">
        <v>124</v>
      </c>
      <c r="G207" s="5"/>
      <c r="H207" s="5"/>
      <c r="I207" s="5"/>
      <c r="J207" s="5"/>
      <c r="K207" s="5"/>
    </row>
    <row r="208" spans="1:11" hidden="1">
      <c r="A208" s="65" cm="1">
        <f t="array" ref="A208">IFERROR(INDEX('Master Vendor Data'!A:A, MATCH(TRUE, INDEX(TRIM('Master Vendor Data'!C:C)=TRIM(C208), 0), 0)), "")</f>
        <v>151</v>
      </c>
      <c r="B208" s="14" t="s">
        <v>17</v>
      </c>
      <c r="C208" s="14" t="s">
        <v>259</v>
      </c>
      <c r="D208" s="14" t="s">
        <v>475</v>
      </c>
      <c r="E208" s="5"/>
      <c r="F208" s="5">
        <v>375</v>
      </c>
      <c r="G208" s="5"/>
      <c r="H208" s="5"/>
      <c r="I208" s="5"/>
      <c r="J208" s="5"/>
      <c r="K208" s="5"/>
    </row>
    <row r="209" spans="1:11" hidden="1">
      <c r="A209" s="65" cm="1">
        <f t="array" ref="A209">IFERROR(INDEX('Master Vendor Data'!A:A, MATCH(TRUE, INDEX(TRIM('Master Vendor Data'!C:C)=TRIM(C209), 0), 0)), "")</f>
        <v>153</v>
      </c>
      <c r="B209" s="14" t="s">
        <v>17</v>
      </c>
      <c r="C209" s="14" t="s">
        <v>261</v>
      </c>
      <c r="D209" s="14" t="s">
        <v>475</v>
      </c>
      <c r="E209" s="5"/>
      <c r="F209" s="5">
        <v>111</v>
      </c>
      <c r="G209" s="5"/>
      <c r="H209" s="5"/>
      <c r="I209" s="5"/>
      <c r="J209" s="5"/>
      <c r="K209" s="5"/>
    </row>
    <row r="210" spans="1:11" hidden="1">
      <c r="A210" s="65" cm="1">
        <f t="array" ref="A210">IFERROR(INDEX('Master Vendor Data'!A:A, MATCH(TRUE, INDEX(TRIM('Master Vendor Data'!C:C)=TRIM(C210), 0), 0)), "")</f>
        <v>152</v>
      </c>
      <c r="B210" s="14" t="s">
        <v>17</v>
      </c>
      <c r="C210" s="14" t="s">
        <v>260</v>
      </c>
      <c r="D210" s="14" t="s">
        <v>475</v>
      </c>
      <c r="E210" s="5"/>
      <c r="F210" s="5">
        <v>105</v>
      </c>
      <c r="G210" s="5"/>
      <c r="H210" s="5"/>
      <c r="I210" s="5"/>
      <c r="J210" s="5"/>
      <c r="K210" s="5"/>
    </row>
    <row r="211" spans="1:11" hidden="1">
      <c r="A211" s="65" cm="1">
        <f t="array" ref="A211">IFERROR(INDEX('Master Vendor Data'!A:A, MATCH(TRUE, INDEX(TRIM('Master Vendor Data'!C:C)=TRIM(C211), 0), 0)), "")</f>
        <v>154</v>
      </c>
      <c r="B211" s="14" t="s">
        <v>108</v>
      </c>
      <c r="C211" s="14" t="s">
        <v>262</v>
      </c>
      <c r="D211" s="14" t="s">
        <v>115</v>
      </c>
      <c r="E211" s="5"/>
      <c r="F211" s="5">
        <v>483</v>
      </c>
      <c r="G211" s="5"/>
      <c r="H211" s="5"/>
      <c r="I211" s="5"/>
      <c r="J211" s="5"/>
      <c r="K211" s="5"/>
    </row>
    <row r="212" spans="1:11" hidden="1">
      <c r="A212" s="65" cm="1">
        <f t="array" ref="A212">IFERROR(INDEX('Master Vendor Data'!A:A, MATCH(TRUE, INDEX(TRIM('Master Vendor Data'!C:C)=TRIM(C212), 0), 0)), "")</f>
        <v>45</v>
      </c>
      <c r="B212" s="14" t="s">
        <v>108</v>
      </c>
      <c r="C212" s="48" t="s">
        <v>476</v>
      </c>
      <c r="D212" s="14" t="s">
        <v>115</v>
      </c>
      <c r="E212" s="5"/>
      <c r="F212" s="5">
        <v>1076</v>
      </c>
      <c r="G212" s="5"/>
      <c r="H212" s="5"/>
      <c r="I212" s="5"/>
      <c r="J212" s="5"/>
      <c r="K212" s="5"/>
    </row>
    <row r="213" spans="1:11" hidden="1">
      <c r="A213" s="65" cm="1">
        <f t="array" ref="A213">IFERROR(INDEX('Master Vendor Data'!A:A, MATCH(TRUE, INDEX(TRIM('Master Vendor Data'!C:C)=TRIM(C213), 0), 0)), "")</f>
        <v>42</v>
      </c>
      <c r="B213" s="14" t="s">
        <v>108</v>
      </c>
      <c r="C213" s="49" t="s">
        <v>477</v>
      </c>
      <c r="D213" s="14" t="s">
        <v>115</v>
      </c>
      <c r="E213" s="5"/>
      <c r="F213" s="5">
        <v>711</v>
      </c>
      <c r="G213" s="5"/>
      <c r="H213" s="5"/>
      <c r="I213" s="5"/>
      <c r="J213" s="5"/>
      <c r="K213" s="5"/>
    </row>
    <row r="214" spans="1:11" hidden="1">
      <c r="A214" s="65" cm="1">
        <f t="array" ref="A214">IFERROR(INDEX('Master Vendor Data'!A:A, MATCH(TRUE, INDEX(TRIM('Master Vendor Data'!C:C)=TRIM(C214), 0), 0)), "")</f>
        <v>155</v>
      </c>
      <c r="B214" s="14" t="s">
        <v>108</v>
      </c>
      <c r="C214" s="14" t="s">
        <v>263</v>
      </c>
      <c r="D214" s="14" t="s">
        <v>115</v>
      </c>
      <c r="E214" s="5"/>
      <c r="F214" s="5">
        <v>402</v>
      </c>
      <c r="G214" s="5"/>
      <c r="H214" s="5"/>
      <c r="I214" s="5"/>
      <c r="J214" s="5"/>
      <c r="K214" s="5"/>
    </row>
    <row r="215" spans="1:11" hidden="1">
      <c r="A215" s="65" cm="1">
        <f t="array" ref="A215">IFERROR(INDEX('Master Vendor Data'!A:A, MATCH(TRUE, INDEX(TRIM('Master Vendor Data'!C:C)=TRIM(C215), 0), 0)), "")</f>
        <v>156</v>
      </c>
      <c r="B215" s="14" t="s">
        <v>108</v>
      </c>
      <c r="C215" s="14" t="s">
        <v>264</v>
      </c>
      <c r="D215" s="14" t="s">
        <v>115</v>
      </c>
      <c r="E215" s="5"/>
      <c r="F215" s="5">
        <v>19</v>
      </c>
      <c r="G215" s="5"/>
      <c r="H215" s="5"/>
      <c r="I215" s="5"/>
      <c r="J215" s="5"/>
      <c r="K215" s="5"/>
    </row>
    <row r="216" spans="1:11" hidden="1">
      <c r="A216" s="65" cm="1">
        <f t="array" ref="A216">IFERROR(INDEX('Master Vendor Data'!A:A, MATCH(TRUE, INDEX(TRIM('Master Vendor Data'!C:C)=TRIM(C216), 0), 0)), "")</f>
        <v>157</v>
      </c>
      <c r="B216" s="14" t="s">
        <v>108</v>
      </c>
      <c r="C216" s="14" t="s">
        <v>265</v>
      </c>
      <c r="D216" s="14" t="s">
        <v>115</v>
      </c>
      <c r="E216" s="5"/>
      <c r="F216" s="5">
        <v>1645</v>
      </c>
      <c r="G216" s="5"/>
      <c r="H216" s="5"/>
      <c r="I216" s="5"/>
      <c r="J216" s="5"/>
      <c r="K216" s="5"/>
    </row>
    <row r="217" spans="1:11" hidden="1">
      <c r="A217" s="65" cm="1">
        <f t="array" ref="A217">IFERROR(INDEX('Master Vendor Data'!A:A, MATCH(TRUE, INDEX(TRIM('Master Vendor Data'!C:C)=TRIM(C217), 0), 0)), "")</f>
        <v>157</v>
      </c>
      <c r="B217" s="14" t="s">
        <v>108</v>
      </c>
      <c r="C217" s="14" t="s">
        <v>265</v>
      </c>
      <c r="D217" s="14" t="s">
        <v>478</v>
      </c>
      <c r="E217" s="5"/>
      <c r="F217" s="5">
        <v>95</v>
      </c>
      <c r="G217" s="5"/>
      <c r="H217" s="5"/>
      <c r="I217" s="5"/>
      <c r="J217" s="5"/>
      <c r="K217" s="5"/>
    </row>
    <row r="218" spans="1:11" hidden="1">
      <c r="A218" s="65" cm="1">
        <f t="array" ref="A218">IFERROR(INDEX('Master Vendor Data'!A:A, MATCH(TRUE, INDEX(TRIM('Master Vendor Data'!C:C)=TRIM(C218), 0), 0)), "")</f>
        <v>158</v>
      </c>
      <c r="B218" s="14" t="s">
        <v>108</v>
      </c>
      <c r="C218" s="14" t="s">
        <v>266</v>
      </c>
      <c r="D218" s="14" t="s">
        <v>479</v>
      </c>
      <c r="E218" s="5"/>
      <c r="F218" s="5">
        <v>18</v>
      </c>
      <c r="G218" s="5"/>
      <c r="H218" s="5"/>
      <c r="I218" s="5"/>
      <c r="J218" s="5"/>
      <c r="K218" s="5"/>
    </row>
    <row r="219" spans="1:11" hidden="1">
      <c r="A219" s="65" cm="1">
        <f t="array" ref="A219">IFERROR(INDEX('Master Vendor Data'!A:A, MATCH(TRUE, INDEX(TRIM('Master Vendor Data'!C:C)=TRIM(C219), 0), 0)), "")</f>
        <v>159</v>
      </c>
      <c r="B219" s="14" t="s">
        <v>108</v>
      </c>
      <c r="C219" s="14" t="s">
        <v>267</v>
      </c>
      <c r="D219" s="14" t="s">
        <v>479</v>
      </c>
      <c r="E219" s="5"/>
      <c r="F219" s="5">
        <v>107</v>
      </c>
      <c r="G219" s="5"/>
      <c r="H219" s="5"/>
      <c r="I219" s="5"/>
      <c r="J219" s="5"/>
      <c r="K219" s="5"/>
    </row>
    <row r="220" spans="1:11" hidden="1">
      <c r="A220" s="65" cm="1">
        <f t="array" ref="A220">IFERROR(INDEX('Master Vendor Data'!A:A, MATCH(TRUE, INDEX(TRIM('Master Vendor Data'!C:C)=TRIM(C220), 0), 0)), "")</f>
        <v>48</v>
      </c>
      <c r="B220" s="14" t="s">
        <v>108</v>
      </c>
      <c r="C220" s="39" t="s">
        <v>438</v>
      </c>
      <c r="D220" s="14" t="s">
        <v>479</v>
      </c>
      <c r="E220" s="5"/>
      <c r="F220" s="5">
        <v>164</v>
      </c>
      <c r="G220" s="5"/>
      <c r="H220" s="5"/>
      <c r="I220" s="5"/>
      <c r="J220" s="5"/>
      <c r="K220" s="5"/>
    </row>
    <row r="221" spans="1:11" hidden="1">
      <c r="A221" s="65" cm="1">
        <f t="array" ref="A221">IFERROR(INDEX('Master Vendor Data'!A:A, MATCH(TRUE, INDEX(TRIM('Master Vendor Data'!C:C)=TRIM(C221), 0), 0)), "")</f>
        <v>160</v>
      </c>
      <c r="B221" s="14" t="s">
        <v>108</v>
      </c>
      <c r="C221" s="14" t="s">
        <v>268</v>
      </c>
      <c r="D221" s="14" t="s">
        <v>479</v>
      </c>
      <c r="E221" s="5"/>
      <c r="F221" s="5">
        <v>308</v>
      </c>
      <c r="G221" s="5"/>
      <c r="H221" s="5"/>
      <c r="I221" s="5"/>
      <c r="J221" s="5"/>
      <c r="K221" s="5"/>
    </row>
    <row r="222" spans="1:11" hidden="1">
      <c r="A222" s="65" cm="1">
        <f t="array" ref="A222">IFERROR(INDEX('Master Vendor Data'!A:A, MATCH(TRUE, INDEX(TRIM('Master Vendor Data'!C:C)=TRIM(C222), 0), 0)), "")</f>
        <v>51</v>
      </c>
      <c r="B222" s="14" t="s">
        <v>108</v>
      </c>
      <c r="C222" s="14" t="s">
        <v>480</v>
      </c>
      <c r="D222" s="14" t="s">
        <v>479</v>
      </c>
      <c r="E222" s="5"/>
      <c r="F222" s="5">
        <v>96</v>
      </c>
      <c r="G222" s="5"/>
      <c r="H222" s="5"/>
      <c r="I222" s="5"/>
      <c r="J222" s="5"/>
      <c r="K222" s="5"/>
    </row>
    <row r="223" spans="1:11" hidden="1">
      <c r="A223" s="65" cm="1">
        <f t="array" ref="A223">IFERROR(INDEX('Master Vendor Data'!A:A, MATCH(TRUE, INDEX(TRIM('Master Vendor Data'!C:C)=TRIM(C223), 0), 0)), "")</f>
        <v>49</v>
      </c>
      <c r="B223" s="14" t="s">
        <v>108</v>
      </c>
      <c r="C223" s="14" t="s">
        <v>481</v>
      </c>
      <c r="D223" s="14" t="s">
        <v>479</v>
      </c>
      <c r="E223" s="5"/>
      <c r="F223" s="5">
        <v>534</v>
      </c>
      <c r="G223" s="5"/>
      <c r="H223" s="5"/>
      <c r="I223" s="5"/>
      <c r="J223" s="5"/>
      <c r="K223" s="5"/>
    </row>
    <row r="224" spans="1:11" hidden="1">
      <c r="A224" s="65" cm="1">
        <f t="array" ref="A224">IFERROR(INDEX('Master Vendor Data'!A:A, MATCH(TRUE, INDEX(TRIM('Master Vendor Data'!C:C)=TRIM(C224), 0), 0)), "")</f>
        <v>161</v>
      </c>
      <c r="B224" s="14" t="s">
        <v>108</v>
      </c>
      <c r="C224" s="14" t="s">
        <v>269</v>
      </c>
      <c r="D224" s="14" t="s">
        <v>482</v>
      </c>
      <c r="E224" s="5"/>
      <c r="F224" s="5">
        <v>2</v>
      </c>
      <c r="G224" s="5"/>
      <c r="H224" s="5"/>
      <c r="I224" s="5"/>
      <c r="J224" s="5"/>
      <c r="K224" s="5"/>
    </row>
    <row r="225" spans="1:11" hidden="1">
      <c r="A225" s="65" cm="1">
        <f t="array" ref="A225">IFERROR(INDEX('Master Vendor Data'!A:A, MATCH(TRUE, INDEX(TRIM('Master Vendor Data'!C:C)=TRIM(C225), 0), 0)), "")</f>
        <v>161</v>
      </c>
      <c r="B225" s="14" t="s">
        <v>108</v>
      </c>
      <c r="C225" s="14" t="s">
        <v>269</v>
      </c>
      <c r="D225" s="14" t="s">
        <v>483</v>
      </c>
      <c r="E225" s="5"/>
      <c r="F225" s="5">
        <v>687</v>
      </c>
      <c r="G225" s="5"/>
      <c r="H225" s="5"/>
      <c r="I225" s="5"/>
      <c r="J225" s="5"/>
      <c r="K225" s="5"/>
    </row>
    <row r="226" spans="1:11" hidden="1">
      <c r="A226" s="65" cm="1">
        <f t="array" ref="A226">IFERROR(INDEX('Master Vendor Data'!A:A, MATCH(TRUE, INDEX(TRIM('Master Vendor Data'!C:C)=TRIM(C226), 0), 0)), "")</f>
        <v>162</v>
      </c>
      <c r="B226" s="14" t="s">
        <v>108</v>
      </c>
      <c r="C226" s="14" t="s">
        <v>270</v>
      </c>
      <c r="D226" s="14" t="s">
        <v>484</v>
      </c>
      <c r="E226" s="5"/>
      <c r="F226" s="5">
        <v>2</v>
      </c>
      <c r="G226" s="5"/>
      <c r="H226" s="5"/>
      <c r="I226" s="5"/>
      <c r="J226" s="5"/>
      <c r="K226" s="5"/>
    </row>
    <row r="227" spans="1:11" hidden="1">
      <c r="A227" s="65" cm="1">
        <f t="array" ref="A227">IFERROR(INDEX('Master Vendor Data'!A:A, MATCH(TRUE, INDEX(TRIM('Master Vendor Data'!C:C)=TRIM(C227), 0), 0)), "")</f>
        <v>162</v>
      </c>
      <c r="B227" s="14" t="s">
        <v>108</v>
      </c>
      <c r="C227" s="14" t="s">
        <v>270</v>
      </c>
      <c r="D227" s="14" t="s">
        <v>484</v>
      </c>
      <c r="E227" s="5"/>
      <c r="F227" s="5">
        <v>81</v>
      </c>
      <c r="G227" s="5"/>
      <c r="H227" s="5"/>
      <c r="I227" s="5"/>
      <c r="J227" s="5"/>
      <c r="K227" s="5"/>
    </row>
    <row r="228" spans="1:11" hidden="1">
      <c r="A228" s="65" cm="1">
        <f t="array" ref="A228">IFERROR(INDEX('Master Vendor Data'!A:A, MATCH(TRUE, INDEX(TRIM('Master Vendor Data'!C:C)=TRIM(C228), 0), 0)), "")</f>
        <v>163</v>
      </c>
      <c r="B228" s="14" t="s">
        <v>108</v>
      </c>
      <c r="C228" s="14" t="s">
        <v>271</v>
      </c>
      <c r="D228" s="14" t="s">
        <v>484</v>
      </c>
      <c r="E228" s="5"/>
      <c r="F228" s="5">
        <v>200</v>
      </c>
      <c r="G228" s="5"/>
      <c r="H228" s="5"/>
      <c r="I228" s="5"/>
      <c r="J228" s="5"/>
      <c r="K228" s="5"/>
    </row>
    <row r="229" spans="1:11" hidden="1">
      <c r="A229" s="65" cm="1">
        <f t="array" ref="A229">IFERROR(INDEX('Master Vendor Data'!A:A, MATCH(TRUE, INDEX(TRIM('Master Vendor Data'!C:C)=TRIM(C229), 0), 0)), "")</f>
        <v>164</v>
      </c>
      <c r="B229" s="14" t="s">
        <v>108</v>
      </c>
      <c r="C229" s="14" t="s">
        <v>272</v>
      </c>
      <c r="D229" s="14" t="s">
        <v>485</v>
      </c>
      <c r="E229" s="5"/>
      <c r="F229" s="5">
        <v>116</v>
      </c>
      <c r="G229" s="5"/>
      <c r="H229" s="5"/>
      <c r="I229" s="5"/>
      <c r="J229" s="5"/>
      <c r="K229" s="5"/>
    </row>
    <row r="230" spans="1:11" hidden="1">
      <c r="A230" s="65" cm="1">
        <f t="array" ref="A230">IFERROR(INDEX('Master Vendor Data'!A:A, MATCH(TRUE, INDEX(TRIM('Master Vendor Data'!C:C)=TRIM(C230), 0), 0)), "")</f>
        <v>165</v>
      </c>
      <c r="B230" s="14" t="s">
        <v>108</v>
      </c>
      <c r="C230" s="14" t="s">
        <v>273</v>
      </c>
      <c r="D230" s="14" t="s">
        <v>486</v>
      </c>
      <c r="E230" s="5"/>
      <c r="F230" s="5">
        <v>223</v>
      </c>
      <c r="G230" s="5"/>
      <c r="H230" s="5"/>
      <c r="I230" s="5"/>
      <c r="J230" s="5"/>
      <c r="K230" s="5"/>
    </row>
    <row r="231" spans="1:11" hidden="1">
      <c r="A231" s="65" cm="1">
        <f t="array" ref="A231">IFERROR(INDEX('Master Vendor Data'!A:A, MATCH(TRUE, INDEX(TRIM('Master Vendor Data'!C:C)=TRIM(C231), 0), 0)), "")</f>
        <v>162</v>
      </c>
      <c r="B231" s="14" t="s">
        <v>108</v>
      </c>
      <c r="C231" s="14" t="s">
        <v>270</v>
      </c>
      <c r="D231" s="14" t="s">
        <v>487</v>
      </c>
      <c r="E231" s="5"/>
      <c r="F231" s="5">
        <v>7</v>
      </c>
      <c r="G231" s="5"/>
      <c r="H231" s="5"/>
      <c r="I231" s="5"/>
      <c r="J231" s="5"/>
      <c r="K231" s="5"/>
    </row>
    <row r="232" spans="1:11" hidden="1">
      <c r="A232" s="65" cm="1">
        <f t="array" ref="A232">IFERROR(INDEX('Master Vendor Data'!A:A, MATCH(TRUE, INDEX(TRIM('Master Vendor Data'!C:C)=TRIM(C232), 0), 0)), "")</f>
        <v>155</v>
      </c>
      <c r="B232" s="14" t="s">
        <v>108</v>
      </c>
      <c r="C232" s="14" t="s">
        <v>263</v>
      </c>
      <c r="D232" s="14" t="s">
        <v>487</v>
      </c>
      <c r="E232" s="5"/>
      <c r="F232" s="5">
        <v>1</v>
      </c>
      <c r="G232" s="5"/>
      <c r="H232" s="5"/>
      <c r="I232" s="5"/>
      <c r="J232" s="5"/>
      <c r="K232" s="5"/>
    </row>
    <row r="233" spans="1:11" hidden="1">
      <c r="A233" s="65" cm="1">
        <f t="array" ref="A233">IFERROR(INDEX('Master Vendor Data'!A:A, MATCH(TRUE, INDEX(TRIM('Master Vendor Data'!C:C)=TRIM(C233), 0), 0)), "")</f>
        <v>162</v>
      </c>
      <c r="B233" s="14" t="s">
        <v>108</v>
      </c>
      <c r="C233" s="14" t="s">
        <v>270</v>
      </c>
      <c r="D233" s="14" t="s">
        <v>487</v>
      </c>
      <c r="E233" s="5"/>
      <c r="F233" s="5">
        <v>96</v>
      </c>
      <c r="G233" s="5"/>
      <c r="H233" s="5"/>
      <c r="I233" s="5"/>
      <c r="J233" s="5"/>
      <c r="K233" s="5"/>
    </row>
    <row r="234" spans="1:11" hidden="1">
      <c r="A234" s="65" cm="1">
        <f t="array" ref="A234">IFERROR(INDEX('Master Vendor Data'!A:A, MATCH(TRUE, INDEX(TRIM('Master Vendor Data'!C:C)=TRIM(C234), 0), 0)), "")</f>
        <v>163</v>
      </c>
      <c r="B234" s="14" t="s">
        <v>108</v>
      </c>
      <c r="C234" s="14" t="s">
        <v>271</v>
      </c>
      <c r="D234" s="14" t="s">
        <v>487</v>
      </c>
      <c r="E234" s="5"/>
      <c r="F234" s="5">
        <v>254</v>
      </c>
      <c r="G234" s="5"/>
      <c r="H234" s="5"/>
      <c r="I234" s="5"/>
      <c r="J234" s="5"/>
      <c r="K234" s="5"/>
    </row>
    <row r="235" spans="1:11" hidden="1">
      <c r="A235" s="65" cm="1">
        <f t="array" ref="A235">IFERROR(INDEX('Master Vendor Data'!A:A, MATCH(TRUE, INDEX(TRIM('Master Vendor Data'!C:C)=TRIM(C235), 0), 0)), "")</f>
        <v>166</v>
      </c>
      <c r="B235" s="14" t="s">
        <v>108</v>
      </c>
      <c r="C235" s="14" t="s">
        <v>274</v>
      </c>
      <c r="D235" s="14" t="s">
        <v>383</v>
      </c>
      <c r="E235" s="5"/>
      <c r="F235" s="5">
        <v>60</v>
      </c>
      <c r="G235" s="5"/>
      <c r="H235" s="5"/>
      <c r="I235" s="5"/>
      <c r="J235" s="5"/>
      <c r="K235" s="5"/>
    </row>
    <row r="236" spans="1:11" hidden="1">
      <c r="A236" s="65" cm="1">
        <f t="array" ref="A236">IFERROR(INDEX('Master Vendor Data'!A:A, MATCH(TRUE, INDEX(TRIM('Master Vendor Data'!C:C)=TRIM(C236), 0), 0)), "")</f>
        <v>167</v>
      </c>
      <c r="B236" s="14" t="s">
        <v>108</v>
      </c>
      <c r="C236" s="14" t="s">
        <v>275</v>
      </c>
      <c r="D236" s="14" t="s">
        <v>383</v>
      </c>
      <c r="E236" s="5"/>
      <c r="F236" s="5">
        <v>264</v>
      </c>
      <c r="G236" s="5"/>
      <c r="H236" s="5"/>
      <c r="I236" s="5"/>
      <c r="J236" s="5"/>
      <c r="K236" s="5"/>
    </row>
    <row r="237" spans="1:11" hidden="1">
      <c r="A237" s="65" cm="1">
        <f t="array" ref="A237">IFERROR(INDEX('Master Vendor Data'!A:A, MATCH(TRUE, INDEX(TRIM('Master Vendor Data'!C:C)=TRIM(C237), 0), 0)), "")</f>
        <v>168</v>
      </c>
      <c r="B237" s="14" t="s">
        <v>108</v>
      </c>
      <c r="C237" s="14" t="s">
        <v>276</v>
      </c>
      <c r="D237" s="14" t="s">
        <v>383</v>
      </c>
      <c r="E237" s="5"/>
      <c r="F237" s="5">
        <v>186</v>
      </c>
      <c r="G237" s="5"/>
      <c r="H237" s="5"/>
      <c r="I237" s="5"/>
      <c r="J237" s="5"/>
      <c r="K237" s="5"/>
    </row>
    <row r="238" spans="1:11" hidden="1">
      <c r="A238" s="65" cm="1">
        <f t="array" ref="A238">IFERROR(INDEX('Master Vendor Data'!A:A, MATCH(TRUE, INDEX(TRIM('Master Vendor Data'!C:C)=TRIM(C238), 0), 0)), "")</f>
        <v>43</v>
      </c>
      <c r="B238" s="14" t="s">
        <v>108</v>
      </c>
      <c r="C238" s="14" t="s">
        <v>488</v>
      </c>
      <c r="D238" s="14" t="s">
        <v>383</v>
      </c>
      <c r="E238" s="5"/>
      <c r="F238" s="5">
        <v>303</v>
      </c>
      <c r="G238" s="5"/>
      <c r="H238" s="5"/>
      <c r="I238" s="5"/>
      <c r="J238" s="5"/>
      <c r="K238" s="5"/>
    </row>
    <row r="239" spans="1:11" hidden="1">
      <c r="A239" s="65" cm="1">
        <f t="array" ref="A239">IFERROR(INDEX('Master Vendor Data'!A:A, MATCH(TRUE, INDEX(TRIM('Master Vendor Data'!C:C)=TRIM(C239), 0), 0)), "")</f>
        <v>169</v>
      </c>
      <c r="B239" s="14" t="s">
        <v>108</v>
      </c>
      <c r="C239" s="14" t="s">
        <v>277</v>
      </c>
      <c r="D239" s="14" t="s">
        <v>383</v>
      </c>
      <c r="E239" s="5"/>
      <c r="F239" s="5">
        <v>3</v>
      </c>
      <c r="G239" s="5"/>
      <c r="H239" s="5"/>
      <c r="I239" s="5"/>
      <c r="J239" s="5"/>
      <c r="K239" s="5"/>
    </row>
    <row r="240" spans="1:11" hidden="1">
      <c r="A240" s="65" cm="1">
        <f t="array" ref="A240">IFERROR(INDEX('Master Vendor Data'!A:A, MATCH(TRUE, INDEX(TRIM('Master Vendor Data'!C:C)=TRIM(C240), 0), 0)), "")</f>
        <v>42</v>
      </c>
      <c r="B240" s="14" t="s">
        <v>108</v>
      </c>
      <c r="C240" s="14" t="s">
        <v>477</v>
      </c>
      <c r="D240" s="14" t="s">
        <v>383</v>
      </c>
      <c r="E240" s="5"/>
      <c r="F240" s="5">
        <v>1671</v>
      </c>
      <c r="G240" s="5"/>
      <c r="H240" s="5"/>
      <c r="I240" s="5"/>
      <c r="J240" s="5"/>
      <c r="K240" s="5"/>
    </row>
    <row r="241" spans="1:11" hidden="1">
      <c r="A241" s="65" cm="1">
        <f t="array" ref="A241">IFERROR(INDEX('Master Vendor Data'!A:A, MATCH(TRUE, INDEX(TRIM('Master Vendor Data'!C:C)=TRIM(C241), 0), 0)), "")</f>
        <v>157</v>
      </c>
      <c r="B241" s="14" t="s">
        <v>108</v>
      </c>
      <c r="C241" s="14" t="s">
        <v>265</v>
      </c>
      <c r="D241" s="14" t="s">
        <v>383</v>
      </c>
      <c r="E241" s="5"/>
      <c r="F241" s="5">
        <v>242</v>
      </c>
      <c r="G241" s="5"/>
      <c r="H241" s="5"/>
      <c r="I241" s="5"/>
      <c r="J241" s="5"/>
      <c r="K241" s="5"/>
    </row>
    <row r="242" spans="1:11" hidden="1">
      <c r="A242" s="65" cm="1">
        <f t="array" ref="A242">IFERROR(INDEX('Master Vendor Data'!A:A, MATCH(TRUE, INDEX(TRIM('Master Vendor Data'!C:C)=TRIM(C242), 0), 0)), "")</f>
        <v>61</v>
      </c>
      <c r="B242" s="14" t="s">
        <v>185</v>
      </c>
      <c r="C242" s="48" t="s">
        <v>489</v>
      </c>
      <c r="D242" s="14" t="s">
        <v>149</v>
      </c>
      <c r="E242" s="5"/>
      <c r="F242" s="5">
        <v>127</v>
      </c>
      <c r="G242" s="5"/>
      <c r="H242" s="5"/>
      <c r="I242" s="5"/>
      <c r="J242" s="5"/>
      <c r="K242" s="5"/>
    </row>
    <row r="243" spans="1:11" hidden="1">
      <c r="A243" s="65" cm="1">
        <f t="array" ref="A243">IFERROR(INDEX('Master Vendor Data'!A:A, MATCH(TRUE, INDEX(TRIM('Master Vendor Data'!C:C)=TRIM(C243), 0), 0)), "")</f>
        <v>170</v>
      </c>
      <c r="B243" s="14" t="s">
        <v>185</v>
      </c>
      <c r="C243" s="14" t="s">
        <v>278</v>
      </c>
      <c r="D243" s="14" t="s">
        <v>149</v>
      </c>
      <c r="E243" s="5"/>
      <c r="F243" s="5">
        <v>1156</v>
      </c>
      <c r="G243" s="5"/>
      <c r="H243" s="5"/>
      <c r="I243" s="5"/>
      <c r="J243" s="5"/>
      <c r="K243" s="5"/>
    </row>
    <row r="244" spans="1:11" hidden="1">
      <c r="A244" s="65" cm="1">
        <f t="array" ref="A244">IFERROR(INDEX('Master Vendor Data'!A:A, MATCH(TRUE, INDEX(TRIM('Master Vendor Data'!C:C)=TRIM(C244), 0), 0)), "")</f>
        <v>62</v>
      </c>
      <c r="B244" s="14" t="s">
        <v>185</v>
      </c>
      <c r="C244" s="48" t="s">
        <v>490</v>
      </c>
      <c r="D244" s="14" t="s">
        <v>149</v>
      </c>
      <c r="E244" s="5"/>
      <c r="F244" s="5">
        <v>1076</v>
      </c>
      <c r="G244" s="5"/>
      <c r="H244" s="5"/>
      <c r="I244" s="5"/>
      <c r="J244" s="5"/>
      <c r="K244" s="5"/>
    </row>
    <row r="245" spans="1:11" hidden="1">
      <c r="A245" s="65" cm="1">
        <f t="array" ref="A245">IFERROR(INDEX('Master Vendor Data'!A:A, MATCH(TRUE, INDEX(TRIM('Master Vendor Data'!C:C)=TRIM(C245), 0), 0)), "")</f>
        <v>171</v>
      </c>
      <c r="B245" s="14" t="s">
        <v>185</v>
      </c>
      <c r="C245" s="14" t="s">
        <v>279</v>
      </c>
      <c r="D245" s="14" t="s">
        <v>149</v>
      </c>
      <c r="E245" s="5"/>
      <c r="F245" s="5">
        <v>476</v>
      </c>
      <c r="G245" s="5"/>
      <c r="H245" s="5"/>
      <c r="I245" s="5"/>
      <c r="J245" s="5"/>
      <c r="K245" s="5"/>
    </row>
    <row r="246" spans="1:11" hidden="1">
      <c r="A246" s="65" cm="1">
        <f t="array" ref="A246">IFERROR(INDEX('Master Vendor Data'!A:A, MATCH(TRUE, INDEX(TRIM('Master Vendor Data'!C:C)=TRIM(C246), 0), 0)), "")</f>
        <v>63</v>
      </c>
      <c r="B246" s="14" t="s">
        <v>185</v>
      </c>
      <c r="C246" s="14" t="s">
        <v>491</v>
      </c>
      <c r="D246" s="14" t="s">
        <v>388</v>
      </c>
      <c r="E246" s="5"/>
      <c r="F246" s="5">
        <v>370</v>
      </c>
      <c r="G246" s="5"/>
      <c r="H246" s="5"/>
      <c r="I246" s="5"/>
      <c r="J246" s="5"/>
      <c r="K246" s="5"/>
    </row>
    <row r="247" spans="1:11" hidden="1">
      <c r="A247" s="65" cm="1">
        <f t="array" ref="A247">IFERROR(INDEX('Master Vendor Data'!A:A, MATCH(TRUE, INDEX(TRIM('Master Vendor Data'!C:C)=TRIM(C247), 0), 0)), "")</f>
        <v>61</v>
      </c>
      <c r="B247" s="14" t="s">
        <v>185</v>
      </c>
      <c r="C247" s="48" t="s">
        <v>489</v>
      </c>
      <c r="D247" s="14" t="s">
        <v>388</v>
      </c>
      <c r="E247" s="5"/>
      <c r="F247" s="5">
        <v>210</v>
      </c>
      <c r="G247" s="5"/>
      <c r="H247" s="5"/>
      <c r="I247" s="5"/>
      <c r="J247" s="5"/>
      <c r="K247" s="5"/>
    </row>
    <row r="248" spans="1:11" hidden="1">
      <c r="A248" s="65" cm="1">
        <f t="array" ref="A248">IFERROR(INDEX('Master Vendor Data'!A:A, MATCH(TRUE, INDEX(TRIM('Master Vendor Data'!C:C)=TRIM(C248), 0), 0)), "")</f>
        <v>81</v>
      </c>
      <c r="B248" s="14" t="s">
        <v>185</v>
      </c>
      <c r="C248" s="49" t="s">
        <v>280</v>
      </c>
      <c r="D248" s="14" t="s">
        <v>388</v>
      </c>
      <c r="E248" s="5"/>
      <c r="F248" s="5">
        <v>1609</v>
      </c>
      <c r="G248" s="5"/>
      <c r="H248" s="5"/>
      <c r="I248" s="5"/>
      <c r="J248" s="5"/>
      <c r="K248" s="5"/>
    </row>
    <row r="249" spans="1:11" hidden="1">
      <c r="A249" s="65" cm="1">
        <f t="array" ref="A249">IFERROR(INDEX('Master Vendor Data'!A:A, MATCH(TRUE, INDEX(TRIM('Master Vendor Data'!C:C)=TRIM(C249), 0), 0)), "")</f>
        <v>75</v>
      </c>
      <c r="B249" s="14" t="s">
        <v>185</v>
      </c>
      <c r="C249" s="39" t="s">
        <v>175</v>
      </c>
      <c r="D249" s="14" t="s">
        <v>492</v>
      </c>
      <c r="E249" s="5"/>
      <c r="F249" s="5">
        <v>878</v>
      </c>
      <c r="G249" s="5"/>
      <c r="H249" s="5"/>
      <c r="I249" s="5"/>
      <c r="J249" s="5"/>
      <c r="K249" s="5"/>
    </row>
    <row r="250" spans="1:11" hidden="1">
      <c r="A250" s="65" cm="1">
        <f t="array" ref="A250">IFERROR(INDEX('Master Vendor Data'!A:A, MATCH(TRUE, INDEX(TRIM('Master Vendor Data'!C:C)=TRIM(C250), 0), 0)), "")</f>
        <v>173</v>
      </c>
      <c r="B250" s="14" t="s">
        <v>185</v>
      </c>
      <c r="C250" s="14" t="s">
        <v>281</v>
      </c>
      <c r="D250" s="14" t="s">
        <v>492</v>
      </c>
      <c r="E250" s="5"/>
      <c r="F250" s="5">
        <v>790</v>
      </c>
      <c r="G250" s="5"/>
      <c r="H250" s="5"/>
      <c r="I250" s="5"/>
      <c r="J250" s="5"/>
      <c r="K250" s="5"/>
    </row>
    <row r="251" spans="1:11" hidden="1">
      <c r="A251" s="65" cm="1">
        <f t="array" ref="A251">IFERROR(INDEX('Master Vendor Data'!A:A, MATCH(TRUE, INDEX(TRIM('Master Vendor Data'!C:C)=TRIM(C251), 0), 0)), "")</f>
        <v>174</v>
      </c>
      <c r="B251" s="14" t="s">
        <v>185</v>
      </c>
      <c r="C251" s="14" t="s">
        <v>282</v>
      </c>
      <c r="D251" s="14" t="s">
        <v>492</v>
      </c>
      <c r="E251" s="5"/>
      <c r="F251" s="5">
        <v>679</v>
      </c>
      <c r="G251" s="5"/>
      <c r="H251" s="5"/>
      <c r="I251" s="5"/>
      <c r="J251" s="5"/>
      <c r="K251" s="5"/>
    </row>
    <row r="252" spans="1:11" hidden="1">
      <c r="A252" s="65" cm="1">
        <f t="array" ref="A252">IFERROR(INDEX('Master Vendor Data'!A:A, MATCH(TRUE, INDEX(TRIM('Master Vendor Data'!C:C)=TRIM(C252), 0), 0)), "")</f>
        <v>175</v>
      </c>
      <c r="B252" s="14" t="s">
        <v>185</v>
      </c>
      <c r="C252" s="14" t="s">
        <v>283</v>
      </c>
      <c r="D252" s="14" t="s">
        <v>492</v>
      </c>
      <c r="E252" s="5"/>
      <c r="F252" s="5">
        <v>28</v>
      </c>
      <c r="G252" s="5"/>
      <c r="H252" s="5"/>
      <c r="I252" s="5"/>
      <c r="J252" s="5"/>
      <c r="K252" s="5"/>
    </row>
    <row r="253" spans="1:11" hidden="1">
      <c r="A253" s="65" cm="1">
        <f t="array" ref="A253">IFERROR(INDEX('Master Vendor Data'!A:A, MATCH(TRUE, INDEX(TRIM('Master Vendor Data'!C:C)=TRIM(C253), 0), 0)), "")</f>
        <v>75</v>
      </c>
      <c r="B253" s="14" t="s">
        <v>185</v>
      </c>
      <c r="C253" s="39" t="s">
        <v>175</v>
      </c>
      <c r="D253" s="14" t="s">
        <v>492</v>
      </c>
      <c r="E253" s="5"/>
      <c r="F253" s="5">
        <v>249</v>
      </c>
      <c r="G253" s="5"/>
      <c r="H253" s="5"/>
      <c r="I253" s="5"/>
      <c r="J253" s="5"/>
      <c r="K253" s="5"/>
    </row>
    <row r="254" spans="1:11" hidden="1">
      <c r="A254" s="65" cm="1">
        <f t="array" ref="A254">IFERROR(INDEX('Master Vendor Data'!A:A, MATCH(TRUE, INDEX(TRIM('Master Vendor Data'!C:C)=TRIM(C254), 0), 0)), "")</f>
        <v>176</v>
      </c>
      <c r="B254" s="14" t="s">
        <v>185</v>
      </c>
      <c r="C254" s="14" t="s">
        <v>284</v>
      </c>
      <c r="D254" s="14" t="s">
        <v>493</v>
      </c>
      <c r="E254" s="5"/>
      <c r="F254" s="5">
        <v>59</v>
      </c>
      <c r="G254" s="5"/>
      <c r="H254" s="5"/>
      <c r="I254" s="5"/>
      <c r="J254" s="5"/>
      <c r="K254" s="5"/>
    </row>
    <row r="255" spans="1:11" hidden="1">
      <c r="A255" s="65" cm="1">
        <f t="array" ref="A255">IFERROR(INDEX('Master Vendor Data'!A:A, MATCH(TRUE, INDEX(TRIM('Master Vendor Data'!C:C)=TRIM(C255), 0), 0)), "")</f>
        <v>177</v>
      </c>
      <c r="B255" s="14" t="s">
        <v>185</v>
      </c>
      <c r="C255" s="14" t="s">
        <v>285</v>
      </c>
      <c r="D255" s="14" t="s">
        <v>493</v>
      </c>
      <c r="E255" s="5"/>
      <c r="F255" s="5">
        <v>68</v>
      </c>
      <c r="G255" s="5"/>
      <c r="H255" s="5"/>
      <c r="I255" s="5"/>
      <c r="J255" s="5"/>
      <c r="K255" s="5"/>
    </row>
    <row r="256" spans="1:11" hidden="1">
      <c r="A256" s="65" cm="1">
        <f t="array" ref="A256">IFERROR(INDEX('Master Vendor Data'!A:A, MATCH(TRUE, INDEX(TRIM('Master Vendor Data'!C:C)=TRIM(C256), 0), 0)), "")</f>
        <v>174</v>
      </c>
      <c r="B256" s="14" t="s">
        <v>185</v>
      </c>
      <c r="C256" s="14" t="s">
        <v>282</v>
      </c>
      <c r="D256" s="14" t="s">
        <v>493</v>
      </c>
      <c r="E256" s="5"/>
      <c r="F256" s="5">
        <v>3</v>
      </c>
      <c r="G256" s="5"/>
      <c r="H256" s="5"/>
      <c r="I256" s="5"/>
      <c r="J256" s="5"/>
      <c r="K256" s="5"/>
    </row>
    <row r="257" spans="1:11" hidden="1">
      <c r="A257" s="65" cm="1">
        <f t="array" ref="A257">IFERROR(INDEX('Master Vendor Data'!A:A, MATCH(TRUE, INDEX(TRIM('Master Vendor Data'!C:C)=TRIM(C257), 0), 0)), "")</f>
        <v>178</v>
      </c>
      <c r="B257" s="14" t="s">
        <v>185</v>
      </c>
      <c r="C257" s="14" t="s">
        <v>286</v>
      </c>
      <c r="D257" s="14" t="s">
        <v>493</v>
      </c>
      <c r="E257" s="5"/>
      <c r="F257" s="5">
        <v>30</v>
      </c>
      <c r="G257" s="5"/>
      <c r="H257" s="5"/>
      <c r="I257" s="5"/>
      <c r="J257" s="5"/>
      <c r="K257" s="5"/>
    </row>
    <row r="258" spans="1:11" hidden="1">
      <c r="A258" s="65" cm="1">
        <f t="array" ref="A258">IFERROR(INDEX('Master Vendor Data'!A:A, MATCH(TRUE, INDEX(TRIM('Master Vendor Data'!C:C)=TRIM(C258), 0), 0)), "")</f>
        <v>179</v>
      </c>
      <c r="B258" s="14" t="s">
        <v>185</v>
      </c>
      <c r="C258" s="14" t="s">
        <v>287</v>
      </c>
      <c r="D258" s="14" t="s">
        <v>389</v>
      </c>
      <c r="E258" s="5"/>
      <c r="F258" s="5">
        <v>1458</v>
      </c>
      <c r="G258" s="5"/>
      <c r="H258" s="5"/>
      <c r="I258" s="5"/>
      <c r="J258" s="5"/>
      <c r="K258" s="5"/>
    </row>
    <row r="259" spans="1:11" hidden="1">
      <c r="A259" s="65" cm="1">
        <f t="array" ref="A259">IFERROR(INDEX('Master Vendor Data'!A:A, MATCH(TRUE, INDEX(TRIM('Master Vendor Data'!C:C)=TRIM(C259), 0), 0)), "")</f>
        <v>61</v>
      </c>
      <c r="B259" s="14" t="s">
        <v>185</v>
      </c>
      <c r="C259" s="14" t="s">
        <v>489</v>
      </c>
      <c r="D259" s="14" t="s">
        <v>389</v>
      </c>
      <c r="E259" s="5"/>
      <c r="F259" s="5">
        <v>188</v>
      </c>
      <c r="G259" s="5"/>
      <c r="H259" s="5"/>
      <c r="I259" s="5"/>
      <c r="J259" s="5"/>
      <c r="K259" s="5"/>
    </row>
    <row r="260" spans="1:11" hidden="1">
      <c r="A260" s="65" cm="1">
        <f t="array" ref="A260">IFERROR(INDEX('Master Vendor Data'!A:A, MATCH(TRUE, INDEX(TRIM('Master Vendor Data'!C:C)=TRIM(C260), 0), 0)), "")</f>
        <v>180</v>
      </c>
      <c r="B260" s="14" t="s">
        <v>185</v>
      </c>
      <c r="C260" s="14" t="s">
        <v>288</v>
      </c>
      <c r="D260" s="14" t="s">
        <v>389</v>
      </c>
      <c r="E260" s="5"/>
      <c r="F260" s="5">
        <v>725</v>
      </c>
      <c r="G260" s="5"/>
      <c r="H260" s="5"/>
      <c r="I260" s="5"/>
      <c r="J260" s="5"/>
      <c r="K260" s="5"/>
    </row>
    <row r="261" spans="1:11" hidden="1">
      <c r="A261" s="65" cm="1">
        <f t="array" ref="A261">IFERROR(INDEX('Master Vendor Data'!A:A, MATCH(TRUE, INDEX(TRIM('Master Vendor Data'!C:C)=TRIM(C261), 0), 0)), "")</f>
        <v>181</v>
      </c>
      <c r="B261" s="14" t="s">
        <v>185</v>
      </c>
      <c r="C261" s="14" t="s">
        <v>289</v>
      </c>
      <c r="D261" s="14" t="s">
        <v>389</v>
      </c>
      <c r="E261" s="5"/>
      <c r="F261" s="5">
        <v>128</v>
      </c>
      <c r="G261" s="5"/>
      <c r="H261" s="5"/>
      <c r="I261" s="5"/>
      <c r="J261" s="5"/>
      <c r="K261" s="5"/>
    </row>
    <row r="262" spans="1:11" hidden="1">
      <c r="A262" s="65" cm="1">
        <f t="array" ref="A262">IFERROR(INDEX('Master Vendor Data'!A:A, MATCH(TRUE, INDEX(TRIM('Master Vendor Data'!C:C)=TRIM(C262), 0), 0)), "")</f>
        <v>182</v>
      </c>
      <c r="B262" s="14" t="s">
        <v>185</v>
      </c>
      <c r="C262" s="14" t="s">
        <v>290</v>
      </c>
      <c r="D262" s="14" t="s">
        <v>389</v>
      </c>
      <c r="E262" s="5"/>
      <c r="F262" s="5">
        <v>270</v>
      </c>
      <c r="G262" s="5"/>
      <c r="H262" s="5"/>
      <c r="I262" s="5"/>
      <c r="J262" s="5"/>
      <c r="K262" s="5"/>
    </row>
    <row r="263" spans="1:11" hidden="1">
      <c r="A263" s="65" cm="1">
        <f t="array" ref="A263">IFERROR(INDEX('Master Vendor Data'!A:A, MATCH(TRUE, INDEX(TRIM('Master Vendor Data'!C:C)=TRIM(C263), 0), 0)), "")</f>
        <v>66</v>
      </c>
      <c r="B263" s="14" t="s">
        <v>185</v>
      </c>
      <c r="C263" s="14" t="s">
        <v>494</v>
      </c>
      <c r="D263" s="14" t="s">
        <v>389</v>
      </c>
      <c r="E263" s="5"/>
      <c r="F263" s="5">
        <v>346</v>
      </c>
      <c r="G263" s="5"/>
      <c r="H263" s="5"/>
      <c r="I263" s="5"/>
      <c r="J263" s="5"/>
      <c r="K263" s="5"/>
    </row>
    <row r="264" spans="1:11" hidden="1">
      <c r="A264" s="65" cm="1">
        <f t="array" ref="A264">IFERROR(INDEX('Master Vendor Data'!A:A, MATCH(TRUE, INDEX(TRIM('Master Vendor Data'!C:C)=TRIM(C264), 0), 0)), "")</f>
        <v>183</v>
      </c>
      <c r="B264" s="14" t="s">
        <v>185</v>
      </c>
      <c r="C264" s="14" t="s">
        <v>291</v>
      </c>
      <c r="D264" s="14" t="s">
        <v>389</v>
      </c>
      <c r="E264" s="5"/>
      <c r="F264" s="5">
        <v>237</v>
      </c>
      <c r="G264" s="5"/>
      <c r="H264" s="5"/>
      <c r="I264" s="5"/>
      <c r="J264" s="5"/>
      <c r="K264" s="5"/>
    </row>
    <row r="265" spans="1:11" hidden="1">
      <c r="A265" s="65" cm="1">
        <f t="array" ref="A265">IFERROR(INDEX('Master Vendor Data'!A:A, MATCH(TRUE, INDEX(TRIM('Master Vendor Data'!C:C)=TRIM(C265), 0), 0)), "")</f>
        <v>184</v>
      </c>
      <c r="B265" s="14" t="s">
        <v>185</v>
      </c>
      <c r="C265" s="14" t="s">
        <v>292</v>
      </c>
      <c r="D265" s="14" t="s">
        <v>389</v>
      </c>
      <c r="E265" s="5"/>
      <c r="F265" s="5">
        <v>94</v>
      </c>
      <c r="G265" s="5"/>
      <c r="H265" s="5"/>
      <c r="I265" s="5"/>
      <c r="J265" s="5"/>
      <c r="K265" s="5"/>
    </row>
    <row r="266" spans="1:11" hidden="1">
      <c r="A266" s="65" cm="1">
        <f t="array" ref="A266">IFERROR(INDEX('Master Vendor Data'!A:A, MATCH(TRUE, INDEX(TRIM('Master Vendor Data'!C:C)=TRIM(C266), 0), 0)), "")</f>
        <v>185</v>
      </c>
      <c r="B266" s="14" t="s">
        <v>185</v>
      </c>
      <c r="C266" s="14" t="s">
        <v>293</v>
      </c>
      <c r="D266" s="14" t="s">
        <v>389</v>
      </c>
      <c r="E266" s="5"/>
      <c r="F266" s="5">
        <v>214</v>
      </c>
      <c r="G266" s="5"/>
      <c r="H266" s="5"/>
      <c r="I266" s="5"/>
      <c r="J266" s="5"/>
      <c r="K266" s="5"/>
    </row>
    <row r="267" spans="1:11" hidden="1">
      <c r="A267" s="65" cm="1">
        <f t="array" ref="A267">IFERROR(INDEX('Master Vendor Data'!A:A, MATCH(TRUE, INDEX(TRIM('Master Vendor Data'!C:C)=TRIM(C267), 0), 0)), "")</f>
        <v>68</v>
      </c>
      <c r="B267" s="14" t="s">
        <v>185</v>
      </c>
      <c r="C267" s="14" t="s">
        <v>495</v>
      </c>
      <c r="D267" s="14" t="s">
        <v>389</v>
      </c>
      <c r="E267" s="5"/>
      <c r="F267" s="5">
        <v>878</v>
      </c>
      <c r="G267" s="5"/>
      <c r="H267" s="5"/>
      <c r="I267" s="5"/>
      <c r="J267" s="5"/>
      <c r="K267" s="5"/>
    </row>
    <row r="268" spans="1:11" hidden="1">
      <c r="A268" s="65" cm="1">
        <f t="array" ref="A268">IFERROR(INDEX('Master Vendor Data'!A:A, MATCH(TRUE, INDEX(TRIM('Master Vendor Data'!C:C)=TRIM(C268), 0), 0)), "")</f>
        <v>61</v>
      </c>
      <c r="B268" s="14" t="s">
        <v>185</v>
      </c>
      <c r="C268" s="14" t="s">
        <v>489</v>
      </c>
      <c r="D268" s="14" t="s">
        <v>389</v>
      </c>
      <c r="E268" s="5"/>
      <c r="F268" s="5">
        <v>70</v>
      </c>
      <c r="G268" s="5"/>
      <c r="H268" s="5"/>
      <c r="I268" s="5"/>
      <c r="J268" s="5"/>
      <c r="K268" s="5"/>
    </row>
    <row r="269" spans="1:11" hidden="1">
      <c r="A269" s="65" cm="1">
        <f t="array" ref="A269">IFERROR(INDEX('Master Vendor Data'!A:A, MATCH(TRUE, INDEX(TRIM('Master Vendor Data'!C:C)=TRIM(C269), 0), 0)), "")</f>
        <v>186</v>
      </c>
      <c r="B269" s="14" t="s">
        <v>185</v>
      </c>
      <c r="C269" s="14" t="s">
        <v>294</v>
      </c>
      <c r="D269" s="14" t="s">
        <v>496</v>
      </c>
      <c r="E269" s="5"/>
      <c r="F269" s="5">
        <v>142</v>
      </c>
      <c r="G269" s="5"/>
      <c r="H269" s="5"/>
      <c r="I269" s="5"/>
      <c r="J269" s="5"/>
      <c r="K269" s="5"/>
    </row>
    <row r="270" spans="1:11" hidden="1">
      <c r="A270" s="65" cm="1">
        <f t="array" ref="A270">IFERROR(INDEX('Master Vendor Data'!A:A, MATCH(TRUE, INDEX(TRIM('Master Vendor Data'!C:C)=TRIM(C270), 0), 0)), "")</f>
        <v>187</v>
      </c>
      <c r="B270" s="14" t="s">
        <v>185</v>
      </c>
      <c r="C270" s="14" t="s">
        <v>295</v>
      </c>
      <c r="D270" s="14" t="s">
        <v>496</v>
      </c>
      <c r="E270" s="5"/>
      <c r="F270" s="5">
        <v>693</v>
      </c>
      <c r="G270" s="5"/>
      <c r="H270" s="5"/>
      <c r="I270" s="5"/>
      <c r="J270" s="5"/>
      <c r="K270" s="5"/>
    </row>
    <row r="271" spans="1:11" hidden="1">
      <c r="A271" s="65" cm="1">
        <f t="array" ref="A271">IFERROR(INDEX('Master Vendor Data'!A:A, MATCH(TRUE, INDEX(TRIM('Master Vendor Data'!C:C)=TRIM(C271), 0), 0)), "")</f>
        <v>174</v>
      </c>
      <c r="B271" s="14" t="s">
        <v>185</v>
      </c>
      <c r="C271" s="14" t="s">
        <v>282</v>
      </c>
      <c r="D271" s="14" t="s">
        <v>496</v>
      </c>
      <c r="E271" s="5"/>
      <c r="F271" s="5">
        <v>108</v>
      </c>
      <c r="G271" s="5"/>
      <c r="H271" s="5"/>
      <c r="I271" s="5"/>
      <c r="J271" s="5"/>
      <c r="K271" s="5"/>
    </row>
    <row r="272" spans="1:11" hidden="1">
      <c r="A272" s="65" cm="1">
        <f t="array" ref="A272">IFERROR(INDEX('Master Vendor Data'!A:A, MATCH(TRUE, INDEX(TRIM('Master Vendor Data'!C:C)=TRIM(C272), 0), 0)), "")</f>
        <v>65</v>
      </c>
      <c r="B272" s="14" t="s">
        <v>185</v>
      </c>
      <c r="C272" s="14" t="s">
        <v>497</v>
      </c>
      <c r="D272" s="14" t="s">
        <v>496</v>
      </c>
      <c r="E272" s="5"/>
      <c r="F272" s="5">
        <v>663</v>
      </c>
      <c r="G272" s="5"/>
      <c r="H272" s="5"/>
      <c r="I272" s="5"/>
      <c r="J272" s="5"/>
      <c r="K272" s="5"/>
    </row>
    <row r="273" spans="1:11" hidden="1">
      <c r="A273" s="65" cm="1">
        <f t="array" ref="A273">IFERROR(INDEX('Master Vendor Data'!A:A, MATCH(TRUE, INDEX(TRIM('Master Vendor Data'!C:C)=TRIM(C273), 0), 0)), "")</f>
        <v>188</v>
      </c>
      <c r="B273" s="14" t="s">
        <v>185</v>
      </c>
      <c r="C273" s="14" t="s">
        <v>296</v>
      </c>
      <c r="D273" s="14" t="s">
        <v>496</v>
      </c>
      <c r="E273" s="5"/>
      <c r="F273" s="5">
        <v>614</v>
      </c>
      <c r="G273" s="5"/>
      <c r="H273" s="5"/>
      <c r="I273" s="5"/>
      <c r="J273" s="5"/>
      <c r="K273" s="5"/>
    </row>
    <row r="274" spans="1:11" hidden="1">
      <c r="A274" s="65" cm="1">
        <f t="array" ref="A274">IFERROR(INDEX('Master Vendor Data'!A:A, MATCH(TRUE, INDEX(TRIM('Master Vendor Data'!C:C)=TRIM(C274), 0), 0)), "")</f>
        <v>189</v>
      </c>
      <c r="B274" s="14" t="s">
        <v>185</v>
      </c>
      <c r="C274" s="14" t="s">
        <v>297</v>
      </c>
      <c r="D274" s="14" t="s">
        <v>496</v>
      </c>
      <c r="E274" s="5"/>
      <c r="F274" s="5">
        <v>596</v>
      </c>
      <c r="G274" s="5"/>
      <c r="H274" s="5"/>
      <c r="I274" s="5"/>
      <c r="J274" s="5"/>
      <c r="K274" s="5"/>
    </row>
    <row r="275" spans="1:11" hidden="1">
      <c r="A275" s="65" cm="1">
        <f t="array" ref="A275">IFERROR(INDEX('Master Vendor Data'!A:A, MATCH(TRUE, INDEX(TRIM('Master Vendor Data'!C:C)=TRIM(C275), 0), 0)), "")</f>
        <v>153</v>
      </c>
      <c r="B275" s="14" t="s">
        <v>185</v>
      </c>
      <c r="C275" s="14" t="s">
        <v>261</v>
      </c>
      <c r="D275" s="14" t="s">
        <v>496</v>
      </c>
      <c r="E275" s="5"/>
      <c r="F275" s="5">
        <v>182</v>
      </c>
      <c r="G275" s="5"/>
      <c r="H275" s="5"/>
      <c r="I275" s="5"/>
      <c r="J275" s="5"/>
      <c r="K275" s="5"/>
    </row>
    <row r="276" spans="1:11" hidden="1">
      <c r="A276" s="65" cm="1">
        <f t="array" ref="A276">IFERROR(INDEX('Master Vendor Data'!A:A, MATCH(TRUE, INDEX(TRIM('Master Vendor Data'!C:C)=TRIM(C276), 0), 0)), "")</f>
        <v>82</v>
      </c>
      <c r="B276" s="14" t="s">
        <v>185</v>
      </c>
      <c r="C276" s="14" t="s">
        <v>298</v>
      </c>
      <c r="D276" s="14" t="s">
        <v>496</v>
      </c>
      <c r="E276" s="5"/>
      <c r="F276" s="5">
        <v>1727</v>
      </c>
      <c r="G276" s="5"/>
      <c r="H276" s="5"/>
      <c r="I276" s="5"/>
      <c r="J276" s="5"/>
      <c r="K276" s="5"/>
    </row>
    <row r="277" spans="1:11" hidden="1">
      <c r="A277" s="65" cm="1">
        <f t="array" ref="A277">IFERROR(INDEX('Master Vendor Data'!A:A, MATCH(TRUE, INDEX(TRIM('Master Vendor Data'!C:C)=TRIM(C277), 0), 0)), "")</f>
        <v>126</v>
      </c>
      <c r="B277" s="14" t="s">
        <v>185</v>
      </c>
      <c r="C277" s="14" t="s">
        <v>234</v>
      </c>
      <c r="D277" s="14" t="s">
        <v>496</v>
      </c>
      <c r="E277" s="5"/>
      <c r="F277" s="5">
        <v>998</v>
      </c>
      <c r="G277" s="5"/>
      <c r="H277" s="5"/>
      <c r="I277" s="5"/>
      <c r="J277" s="5"/>
      <c r="K277" s="5"/>
    </row>
    <row r="278" spans="1:11" hidden="1">
      <c r="A278" s="65" cm="1">
        <f t="array" ref="A278">IFERROR(INDEX('Master Vendor Data'!A:A, MATCH(TRUE, INDEX(TRIM('Master Vendor Data'!C:C)=TRIM(C278), 0), 0)), "")</f>
        <v>191</v>
      </c>
      <c r="B278" s="14" t="s">
        <v>185</v>
      </c>
      <c r="C278" s="14" t="s">
        <v>299</v>
      </c>
      <c r="D278" s="14" t="s">
        <v>496</v>
      </c>
      <c r="E278" s="5"/>
      <c r="F278" s="5">
        <v>10</v>
      </c>
      <c r="G278" s="5"/>
      <c r="H278" s="5"/>
      <c r="I278" s="5"/>
      <c r="J278" s="5"/>
      <c r="K278" s="5"/>
    </row>
    <row r="279" spans="1:11" hidden="1">
      <c r="A279" s="65" cm="1">
        <f t="array" ref="A279">IFERROR(INDEX('Master Vendor Data'!A:A, MATCH(TRUE, INDEX(TRIM('Master Vendor Data'!C:C)=TRIM(C279), 0), 0)), "")</f>
        <v>192</v>
      </c>
      <c r="B279" s="14" t="s">
        <v>185</v>
      </c>
      <c r="C279" s="14" t="s">
        <v>300</v>
      </c>
      <c r="D279" s="14" t="s">
        <v>496</v>
      </c>
      <c r="E279" s="5"/>
      <c r="F279" s="5">
        <v>220</v>
      </c>
      <c r="G279" s="5"/>
      <c r="H279" s="5"/>
      <c r="I279" s="5"/>
      <c r="J279" s="5"/>
      <c r="K279" s="5"/>
    </row>
    <row r="280" spans="1:11" hidden="1">
      <c r="A280" s="65" cm="1">
        <f t="array" ref="A280">IFERROR(INDEX('Master Vendor Data'!A:A, MATCH(TRUE, INDEX(TRIM('Master Vendor Data'!C:C)=TRIM(C280), 0), 0)), "")</f>
        <v>193</v>
      </c>
      <c r="B280" s="14" t="s">
        <v>185</v>
      </c>
      <c r="C280" s="14" t="s">
        <v>301</v>
      </c>
      <c r="D280" s="14" t="s">
        <v>496</v>
      </c>
      <c r="E280" s="5"/>
      <c r="F280" s="5">
        <v>17</v>
      </c>
      <c r="G280" s="5"/>
      <c r="H280" s="5"/>
      <c r="I280" s="5"/>
      <c r="J280" s="5"/>
      <c r="K280" s="5"/>
    </row>
    <row r="281" spans="1:11" hidden="1">
      <c r="A281" s="65" cm="1">
        <f t="array" ref="A281">IFERROR(INDEX('Master Vendor Data'!A:A, MATCH(TRUE, INDEX(TRIM('Master Vendor Data'!C:C)=TRIM(C281), 0), 0)), "")</f>
        <v>182</v>
      </c>
      <c r="B281" s="14" t="s">
        <v>185</v>
      </c>
      <c r="C281" s="14" t="s">
        <v>290</v>
      </c>
      <c r="D281" s="14" t="s">
        <v>498</v>
      </c>
      <c r="E281" s="5"/>
      <c r="F281" s="5">
        <v>40</v>
      </c>
      <c r="G281" s="5"/>
      <c r="H281" s="5"/>
      <c r="I281" s="5"/>
      <c r="J281" s="5"/>
      <c r="K281" s="5"/>
    </row>
    <row r="282" spans="1:11" hidden="1">
      <c r="A282" s="65" cm="1">
        <f t="array" ref="A282">IFERROR(INDEX('Master Vendor Data'!A:A, MATCH(TRUE, INDEX(TRIM('Master Vendor Data'!C:C)=TRIM(C282), 0), 0)), "")</f>
        <v>66</v>
      </c>
      <c r="B282" s="14" t="s">
        <v>185</v>
      </c>
      <c r="C282" s="14" t="s">
        <v>494</v>
      </c>
      <c r="D282" s="14" t="s">
        <v>499</v>
      </c>
      <c r="E282" s="5"/>
      <c r="F282" s="5">
        <v>72</v>
      </c>
      <c r="G282" s="5"/>
      <c r="H282" s="5"/>
      <c r="I282" s="5"/>
      <c r="J282" s="5"/>
      <c r="K282" s="5"/>
    </row>
    <row r="283" spans="1:11" hidden="1">
      <c r="A283" s="65" cm="1">
        <f t="array" ref="A283">IFERROR(INDEX('Master Vendor Data'!A:A, MATCH(TRUE, INDEX(TRIM('Master Vendor Data'!C:C)=TRIM(C283), 0), 0)), "")</f>
        <v>194</v>
      </c>
      <c r="B283" s="14" t="s">
        <v>185</v>
      </c>
      <c r="C283" s="14" t="s">
        <v>302</v>
      </c>
      <c r="D283" s="14" t="s">
        <v>499</v>
      </c>
      <c r="E283" s="5"/>
      <c r="F283" s="5">
        <v>296</v>
      </c>
      <c r="G283" s="5"/>
      <c r="H283" s="5"/>
      <c r="I283" s="5"/>
      <c r="J283" s="5"/>
      <c r="K283" s="5"/>
    </row>
    <row r="284" spans="1:11" hidden="1">
      <c r="A284" s="65" cm="1">
        <f t="array" ref="A284">IFERROR(INDEX('Master Vendor Data'!A:A, MATCH(TRUE, INDEX(TRIM('Master Vendor Data'!C:C)=TRIM(C284), 0), 0)), "")</f>
        <v>187</v>
      </c>
      <c r="B284" s="14" t="s">
        <v>185</v>
      </c>
      <c r="C284" s="14" t="s">
        <v>295</v>
      </c>
      <c r="D284" s="14" t="s">
        <v>499</v>
      </c>
      <c r="E284" s="5"/>
      <c r="F284" s="5">
        <v>150</v>
      </c>
      <c r="G284" s="5"/>
      <c r="H284" s="5"/>
      <c r="I284" s="5"/>
      <c r="J284" s="5"/>
      <c r="K284" s="5"/>
    </row>
    <row r="285" spans="1:11" hidden="1">
      <c r="A285" s="65" cm="1">
        <f t="array" ref="A285">IFERROR(INDEX('Master Vendor Data'!A:A, MATCH(TRUE, INDEX(TRIM('Master Vendor Data'!C:C)=TRIM(C285), 0), 0)), "")</f>
        <v>183</v>
      </c>
      <c r="B285" s="14" t="s">
        <v>185</v>
      </c>
      <c r="C285" s="14" t="s">
        <v>291</v>
      </c>
      <c r="D285" s="14" t="s">
        <v>499</v>
      </c>
      <c r="E285" s="5"/>
      <c r="F285" s="5">
        <v>7</v>
      </c>
      <c r="G285" s="5"/>
      <c r="H285" s="5"/>
      <c r="I285" s="5"/>
      <c r="J285" s="5"/>
      <c r="K285" s="5"/>
    </row>
    <row r="286" spans="1:11" hidden="1">
      <c r="A286" s="65" cm="1">
        <f t="array" ref="A286">IFERROR(INDEX('Master Vendor Data'!A:A, MATCH(TRUE, INDEX(TRIM('Master Vendor Data'!C:C)=TRIM(C286), 0), 0)), "")</f>
        <v>184</v>
      </c>
      <c r="B286" s="14" t="s">
        <v>185</v>
      </c>
      <c r="C286" s="14" t="s">
        <v>292</v>
      </c>
      <c r="D286" s="14" t="s">
        <v>499</v>
      </c>
      <c r="E286" s="5"/>
      <c r="F286" s="5">
        <v>38</v>
      </c>
      <c r="G286" s="5"/>
      <c r="H286" s="5"/>
      <c r="I286" s="5"/>
      <c r="J286" s="5"/>
      <c r="K286" s="5"/>
    </row>
    <row r="287" spans="1:11" hidden="1">
      <c r="A287" s="65" cm="1">
        <f t="array" ref="A287">IFERROR(INDEX('Master Vendor Data'!A:A, MATCH(TRUE, INDEX(TRIM('Master Vendor Data'!C:C)=TRIM(C287), 0), 0)), "")</f>
        <v>189</v>
      </c>
      <c r="B287" s="14" t="s">
        <v>185</v>
      </c>
      <c r="C287" s="14" t="s">
        <v>297</v>
      </c>
      <c r="D287" s="14" t="s">
        <v>499</v>
      </c>
      <c r="E287" s="5"/>
      <c r="F287" s="5">
        <v>24</v>
      </c>
      <c r="G287" s="5"/>
      <c r="H287" s="5"/>
      <c r="I287" s="5"/>
      <c r="J287" s="5"/>
      <c r="K287" s="5"/>
    </row>
    <row r="288" spans="1:11" hidden="1">
      <c r="A288" s="65" cm="1">
        <f t="array" ref="A288">IFERROR(INDEX('Master Vendor Data'!A:A, MATCH(TRUE, INDEX(TRIM('Master Vendor Data'!C:C)=TRIM(C288), 0), 0)), "")</f>
        <v>66</v>
      </c>
      <c r="B288" s="14" t="s">
        <v>185</v>
      </c>
      <c r="C288" s="14" t="s">
        <v>494</v>
      </c>
      <c r="D288" s="14" t="s">
        <v>500</v>
      </c>
      <c r="E288" s="5"/>
      <c r="F288" s="5">
        <v>359</v>
      </c>
      <c r="G288" s="5"/>
      <c r="H288" s="5"/>
      <c r="I288" s="5"/>
      <c r="J288" s="5"/>
      <c r="K288" s="5"/>
    </row>
    <row r="289" spans="1:11" hidden="1">
      <c r="A289" s="65" cm="1">
        <f t="array" ref="A289">IFERROR(INDEX('Master Vendor Data'!A:A, MATCH(TRUE, INDEX(TRIM('Master Vendor Data'!C:C)=TRIM(C289), 0), 0)), "")</f>
        <v>187</v>
      </c>
      <c r="B289" s="14" t="s">
        <v>185</v>
      </c>
      <c r="C289" s="14" t="s">
        <v>295</v>
      </c>
      <c r="D289" s="14" t="s">
        <v>500</v>
      </c>
      <c r="E289" s="5"/>
      <c r="F289" s="5">
        <v>871</v>
      </c>
      <c r="G289" s="5"/>
      <c r="H289" s="5"/>
      <c r="I289" s="5"/>
      <c r="J289" s="5"/>
      <c r="K289" s="5"/>
    </row>
    <row r="290" spans="1:11" hidden="1">
      <c r="A290" s="65" cm="1">
        <f t="array" ref="A290">IFERROR(INDEX('Master Vendor Data'!A:A, MATCH(TRUE, INDEX(TRIM('Master Vendor Data'!C:C)=TRIM(C290), 0), 0)), "")</f>
        <v>183</v>
      </c>
      <c r="B290" s="14" t="s">
        <v>185</v>
      </c>
      <c r="C290" s="14" t="s">
        <v>291</v>
      </c>
      <c r="D290" s="14" t="s">
        <v>500</v>
      </c>
      <c r="E290" s="5"/>
      <c r="F290" s="5">
        <v>586</v>
      </c>
      <c r="G290" s="5"/>
      <c r="H290" s="5"/>
      <c r="I290" s="5"/>
      <c r="J290" s="5"/>
      <c r="K290" s="5"/>
    </row>
    <row r="291" spans="1:11" hidden="1">
      <c r="A291" s="65" cm="1">
        <f t="array" ref="A291">IFERROR(INDEX('Master Vendor Data'!A:A, MATCH(TRUE, INDEX(TRIM('Master Vendor Data'!C:C)=TRIM(C291), 0), 0)), "")</f>
        <v>65</v>
      </c>
      <c r="B291" s="14" t="s">
        <v>185</v>
      </c>
      <c r="C291" s="14" t="s">
        <v>497</v>
      </c>
      <c r="D291" s="14" t="s">
        <v>500</v>
      </c>
      <c r="E291" s="5"/>
      <c r="F291" s="5">
        <v>316</v>
      </c>
      <c r="G291" s="5"/>
      <c r="H291" s="5"/>
      <c r="I291" s="5"/>
      <c r="J291" s="5"/>
      <c r="K291" s="5"/>
    </row>
    <row r="292" spans="1:11" hidden="1">
      <c r="A292" s="65" cm="1">
        <f t="array" ref="A292">IFERROR(INDEX('Master Vendor Data'!A:A, MATCH(TRUE, INDEX(TRIM('Master Vendor Data'!C:C)=TRIM(C292), 0), 0)), "")</f>
        <v>189</v>
      </c>
      <c r="B292" s="14" t="s">
        <v>185</v>
      </c>
      <c r="C292" s="14" t="s">
        <v>297</v>
      </c>
      <c r="D292" s="14" t="s">
        <v>500</v>
      </c>
      <c r="E292" s="5"/>
      <c r="F292" s="5">
        <v>488</v>
      </c>
      <c r="G292" s="5"/>
      <c r="H292" s="5"/>
      <c r="I292" s="5"/>
      <c r="J292" s="5"/>
      <c r="K292" s="5"/>
    </row>
    <row r="293" spans="1:11" hidden="1">
      <c r="A293" s="65" cm="1">
        <f t="array" ref="A293">IFERROR(INDEX('Master Vendor Data'!A:A, MATCH(TRUE, INDEX(TRIM('Master Vendor Data'!C:C)=TRIM(C293), 0), 0)), "")</f>
        <v>153</v>
      </c>
      <c r="B293" s="14" t="s">
        <v>185</v>
      </c>
      <c r="C293" s="14" t="s">
        <v>261</v>
      </c>
      <c r="D293" s="14" t="s">
        <v>500</v>
      </c>
      <c r="E293" s="5"/>
      <c r="F293" s="5">
        <v>119</v>
      </c>
      <c r="G293" s="5"/>
      <c r="H293" s="5"/>
      <c r="I293" s="5"/>
      <c r="J293" s="5"/>
      <c r="K293" s="5"/>
    </row>
    <row r="294" spans="1:11" hidden="1">
      <c r="A294" s="65" cm="1">
        <f t="array" ref="A294">IFERROR(INDEX('Master Vendor Data'!A:A, MATCH(TRUE, INDEX(TRIM('Master Vendor Data'!C:C)=TRIM(C294), 0), 0)), "")</f>
        <v>82</v>
      </c>
      <c r="B294" s="14" t="s">
        <v>185</v>
      </c>
      <c r="C294" s="14" t="s">
        <v>298</v>
      </c>
      <c r="D294" s="14" t="s">
        <v>500</v>
      </c>
      <c r="E294" s="5"/>
      <c r="F294" s="5">
        <v>1636</v>
      </c>
      <c r="G294" s="5"/>
      <c r="H294" s="5"/>
      <c r="I294" s="5"/>
      <c r="J294" s="5"/>
      <c r="K294" s="5"/>
    </row>
    <row r="295" spans="1:11" hidden="1">
      <c r="A295" s="65" cm="1">
        <f t="array" ref="A295">IFERROR(INDEX('Master Vendor Data'!A:A, MATCH(TRUE, INDEX(TRIM('Master Vendor Data'!C:C)=TRIM(C295), 0), 0)), "")</f>
        <v>68</v>
      </c>
      <c r="B295" s="14" t="s">
        <v>185</v>
      </c>
      <c r="C295" s="14" t="s">
        <v>495</v>
      </c>
      <c r="D295" s="14" t="s">
        <v>500</v>
      </c>
      <c r="E295" s="5"/>
      <c r="F295" s="5">
        <v>994</v>
      </c>
      <c r="G295" s="5"/>
      <c r="H295" s="5"/>
      <c r="I295" s="5"/>
      <c r="J295" s="5"/>
      <c r="K295" s="5"/>
    </row>
    <row r="296" spans="1:11" hidden="1">
      <c r="A296" s="65" cm="1">
        <f t="array" ref="A296">IFERROR(INDEX('Master Vendor Data'!A:A, MATCH(TRUE, INDEX(TRIM('Master Vendor Data'!C:C)=TRIM(C296), 0), 0)), "")</f>
        <v>126</v>
      </c>
      <c r="B296" s="14" t="s">
        <v>185</v>
      </c>
      <c r="C296" s="14" t="s">
        <v>234</v>
      </c>
      <c r="D296" s="14" t="s">
        <v>501</v>
      </c>
      <c r="E296" s="5"/>
      <c r="F296" s="5">
        <v>215</v>
      </c>
      <c r="G296" s="5"/>
      <c r="H296" s="5"/>
      <c r="I296" s="5"/>
      <c r="J296" s="5"/>
      <c r="K296" s="5"/>
    </row>
    <row r="297" spans="1:11" hidden="1">
      <c r="A297" s="65" cm="1">
        <f t="array" ref="A297">IFERROR(INDEX('Master Vendor Data'!A:A, MATCH(TRUE, INDEX(TRIM('Master Vendor Data'!C:C)=TRIM(C297), 0), 0)), "")</f>
        <v>61</v>
      </c>
      <c r="B297" s="14" t="s">
        <v>185</v>
      </c>
      <c r="C297" s="14" t="s">
        <v>489</v>
      </c>
      <c r="D297" s="14" t="s">
        <v>390</v>
      </c>
      <c r="E297" s="5"/>
      <c r="F297" s="5">
        <v>367</v>
      </c>
      <c r="G297" s="5"/>
      <c r="H297" s="5"/>
      <c r="I297" s="5"/>
      <c r="J297" s="5"/>
      <c r="K297" s="5"/>
    </row>
    <row r="298" spans="1:11" hidden="1">
      <c r="A298" s="65" cm="1">
        <f t="array" ref="A298">IFERROR(INDEX('Master Vendor Data'!A:A, MATCH(TRUE, INDEX(TRIM('Master Vendor Data'!C:C)=TRIM(C298), 0), 0)), "")</f>
        <v>174</v>
      </c>
      <c r="B298" s="14" t="s">
        <v>185</v>
      </c>
      <c r="C298" s="14" t="s">
        <v>282</v>
      </c>
      <c r="D298" s="14" t="s">
        <v>390</v>
      </c>
      <c r="E298" s="5"/>
      <c r="F298" s="5">
        <v>236</v>
      </c>
      <c r="G298" s="5"/>
      <c r="H298" s="5"/>
      <c r="I298" s="5"/>
      <c r="J298" s="5"/>
      <c r="K298" s="5"/>
    </row>
    <row r="299" spans="1:11" hidden="1">
      <c r="A299" s="65" cm="1">
        <f t="array" ref="A299">IFERROR(INDEX('Master Vendor Data'!A:A, MATCH(TRUE, INDEX(TRIM('Master Vendor Data'!C:C)=TRIM(C299), 0), 0)), "")</f>
        <v>195</v>
      </c>
      <c r="B299" s="14" t="s">
        <v>185</v>
      </c>
      <c r="C299" s="14" t="s">
        <v>303</v>
      </c>
      <c r="D299" s="14" t="s">
        <v>390</v>
      </c>
      <c r="E299" s="5"/>
      <c r="F299" s="5">
        <v>525</v>
      </c>
      <c r="G299" s="5"/>
      <c r="H299" s="5"/>
      <c r="I299" s="5"/>
      <c r="J299" s="5"/>
      <c r="K299" s="5"/>
    </row>
    <row r="300" spans="1:11" hidden="1">
      <c r="A300" s="65" cm="1">
        <f t="array" ref="A300">IFERROR(INDEX('Master Vendor Data'!A:A, MATCH(TRUE, INDEX(TRIM('Master Vendor Data'!C:C)=TRIM(C300), 0), 0)), "")</f>
        <v>175</v>
      </c>
      <c r="B300" s="14" t="s">
        <v>185</v>
      </c>
      <c r="C300" s="14" t="s">
        <v>283</v>
      </c>
      <c r="D300" s="14" t="s">
        <v>390</v>
      </c>
      <c r="E300" s="5"/>
      <c r="F300" s="5">
        <v>47</v>
      </c>
      <c r="G300" s="5"/>
      <c r="H300" s="5"/>
      <c r="I300" s="5"/>
      <c r="J300" s="5"/>
      <c r="K300" s="5"/>
    </row>
    <row r="301" spans="1:11" hidden="1">
      <c r="A301" s="65" cm="1">
        <f t="array" ref="A301">IFERROR(INDEX('Master Vendor Data'!A:A, MATCH(TRUE, INDEX(TRIM('Master Vendor Data'!C:C)=TRIM(C301), 0), 0)), "")</f>
        <v>185</v>
      </c>
      <c r="B301" s="14" t="s">
        <v>185</v>
      </c>
      <c r="C301" s="14" t="s">
        <v>293</v>
      </c>
      <c r="D301" s="14" t="s">
        <v>390</v>
      </c>
      <c r="E301" s="5"/>
      <c r="F301" s="5">
        <v>299</v>
      </c>
      <c r="G301" s="5"/>
      <c r="H301" s="5"/>
      <c r="I301" s="5"/>
      <c r="J301" s="5"/>
      <c r="K301" s="5"/>
    </row>
    <row r="302" spans="1:11" hidden="1">
      <c r="A302" s="65" cm="1">
        <f t="array" ref="A302">IFERROR(INDEX('Master Vendor Data'!A:A, MATCH(TRUE, INDEX(TRIM('Master Vendor Data'!C:C)=TRIM(C302), 0), 0)), "")</f>
        <v>193</v>
      </c>
      <c r="B302" s="14" t="s">
        <v>185</v>
      </c>
      <c r="C302" s="14" t="s">
        <v>301</v>
      </c>
      <c r="D302" s="14" t="s">
        <v>390</v>
      </c>
      <c r="E302" s="5"/>
      <c r="F302" s="5">
        <v>8</v>
      </c>
      <c r="G302" s="5"/>
      <c r="H302" s="5"/>
      <c r="I302" s="5"/>
      <c r="J302" s="5"/>
      <c r="K302" s="5"/>
    </row>
    <row r="303" spans="1:11" hidden="1">
      <c r="A303" s="65" cm="1">
        <f t="array" ref="A303">IFERROR(INDEX('Master Vendor Data'!A:A, MATCH(TRUE, INDEX(TRIM('Master Vendor Data'!C:C)=TRIM(C303), 0), 0)), "")</f>
        <v>196</v>
      </c>
      <c r="B303" s="14" t="s">
        <v>53</v>
      </c>
      <c r="C303" s="48" t="s">
        <v>304</v>
      </c>
      <c r="D303" s="14" t="s">
        <v>391</v>
      </c>
      <c r="E303" s="5"/>
      <c r="F303" s="5">
        <v>685</v>
      </c>
      <c r="G303" s="5"/>
      <c r="H303" s="5"/>
      <c r="I303" s="5"/>
      <c r="J303" s="5"/>
      <c r="K303" s="5"/>
    </row>
    <row r="304" spans="1:11" hidden="1">
      <c r="A304" s="65" cm="1">
        <f t="array" ref="A304">IFERROR(INDEX('Master Vendor Data'!A:A, MATCH(TRUE, INDEX(TRIM('Master Vendor Data'!C:C)=TRIM(C304), 0), 0)), "")</f>
        <v>197</v>
      </c>
      <c r="B304" s="14" t="s">
        <v>53</v>
      </c>
      <c r="C304" s="14" t="s">
        <v>305</v>
      </c>
      <c r="D304" s="14" t="s">
        <v>391</v>
      </c>
      <c r="E304" s="5"/>
      <c r="F304" s="5">
        <v>83</v>
      </c>
      <c r="G304" s="5"/>
      <c r="H304" s="5"/>
      <c r="I304" s="5"/>
      <c r="J304" s="5"/>
      <c r="K304" s="5"/>
    </row>
    <row r="305" spans="1:11" hidden="1">
      <c r="A305" s="65" cm="1">
        <f t="array" ref="A305">IFERROR(INDEX('Master Vendor Data'!A:A, MATCH(TRUE, INDEX(TRIM('Master Vendor Data'!C:C)=TRIM(C305), 0), 0)), "")</f>
        <v>83</v>
      </c>
      <c r="B305" s="14" t="s">
        <v>53</v>
      </c>
      <c r="C305" s="39" t="s">
        <v>189</v>
      </c>
      <c r="D305" s="14" t="s">
        <v>391</v>
      </c>
      <c r="E305" s="5"/>
      <c r="F305" s="5">
        <v>476</v>
      </c>
      <c r="G305" s="5"/>
      <c r="H305" s="5"/>
      <c r="I305" s="5"/>
      <c r="J305" s="5"/>
      <c r="K305" s="5"/>
    </row>
    <row r="306" spans="1:11" hidden="1">
      <c r="A306" s="65" cm="1">
        <f t="array" ref="A306">IFERROR(INDEX('Master Vendor Data'!A:A, MATCH(TRUE, INDEX(TRIM('Master Vendor Data'!C:C)=TRIM(C306), 0), 0)), "")</f>
        <v>20</v>
      </c>
      <c r="B306" s="14" t="s">
        <v>53</v>
      </c>
      <c r="C306" s="48" t="s">
        <v>502</v>
      </c>
      <c r="D306" s="14" t="s">
        <v>391</v>
      </c>
      <c r="E306" s="5"/>
      <c r="F306" s="5">
        <v>355</v>
      </c>
      <c r="G306" s="5"/>
      <c r="H306" s="5"/>
      <c r="I306" s="5"/>
      <c r="J306" s="5"/>
      <c r="K306" s="5"/>
    </row>
    <row r="307" spans="1:11" hidden="1">
      <c r="A307" s="65" cm="1">
        <f t="array" ref="A307">IFERROR(INDEX('Master Vendor Data'!A:A, MATCH(TRUE, INDEX(TRIM('Master Vendor Data'!C:C)=TRIM(C307), 0), 0)), "")</f>
        <v>125</v>
      </c>
      <c r="B307" s="14" t="s">
        <v>53</v>
      </c>
      <c r="C307" s="14" t="s">
        <v>233</v>
      </c>
      <c r="D307" s="14" t="s">
        <v>391</v>
      </c>
      <c r="E307" s="5"/>
      <c r="F307" s="5">
        <v>43</v>
      </c>
      <c r="G307" s="5"/>
      <c r="H307" s="5"/>
      <c r="I307" s="5"/>
      <c r="J307" s="5"/>
      <c r="K307" s="5"/>
    </row>
    <row r="308" spans="1:11" hidden="1">
      <c r="A308" s="65" cm="1">
        <f t="array" ref="A308">IFERROR(INDEX('Master Vendor Data'!A:A, MATCH(TRUE, INDEX(TRIM('Master Vendor Data'!C:C)=TRIM(C308), 0), 0)), "")</f>
        <v>198</v>
      </c>
      <c r="B308" s="14" t="s">
        <v>53</v>
      </c>
      <c r="C308" s="14" t="s">
        <v>306</v>
      </c>
      <c r="D308" s="14" t="s">
        <v>391</v>
      </c>
      <c r="E308" s="5"/>
      <c r="F308" s="5">
        <v>1514</v>
      </c>
      <c r="G308" s="5"/>
      <c r="H308" s="5"/>
      <c r="I308" s="5"/>
      <c r="J308" s="5"/>
      <c r="K308" s="5"/>
    </row>
    <row r="309" spans="1:11" hidden="1">
      <c r="A309" s="65" cm="1">
        <f t="array" ref="A309">IFERROR(INDEX('Master Vendor Data'!A:A, MATCH(TRUE, INDEX(TRIM('Master Vendor Data'!C:C)=TRIM(C309), 0), 0)), "")</f>
        <v>199</v>
      </c>
      <c r="B309" s="14" t="s">
        <v>53</v>
      </c>
      <c r="C309" s="14" t="s">
        <v>307</v>
      </c>
      <c r="D309" s="14" t="s">
        <v>391</v>
      </c>
      <c r="E309" s="5"/>
      <c r="F309" s="5">
        <v>248</v>
      </c>
      <c r="G309" s="5"/>
      <c r="H309" s="5"/>
      <c r="I309" s="5"/>
      <c r="J309" s="5"/>
      <c r="K309" s="5"/>
    </row>
    <row r="310" spans="1:11" hidden="1">
      <c r="A310" s="65" cm="1">
        <f t="array" ref="A310">IFERROR(INDEX('Master Vendor Data'!A:A, MATCH(TRUE, INDEX(TRIM('Master Vendor Data'!C:C)=TRIM(C310), 0), 0)), "")</f>
        <v>200</v>
      </c>
      <c r="B310" s="14" t="s">
        <v>53</v>
      </c>
      <c r="C310" s="14" t="s">
        <v>308</v>
      </c>
      <c r="D310" s="14" t="s">
        <v>391</v>
      </c>
      <c r="E310" s="5"/>
      <c r="F310" s="5">
        <v>112</v>
      </c>
      <c r="G310" s="5"/>
      <c r="H310" s="5"/>
      <c r="I310" s="5"/>
      <c r="J310" s="5"/>
      <c r="K310" s="5"/>
    </row>
    <row r="311" spans="1:11" hidden="1">
      <c r="A311" s="65" cm="1">
        <f t="array" ref="A311">IFERROR(INDEX('Master Vendor Data'!A:A, MATCH(TRUE, INDEX(TRIM('Master Vendor Data'!C:C)=TRIM(C311), 0), 0)), "")</f>
        <v>201</v>
      </c>
      <c r="B311" s="14" t="s">
        <v>53</v>
      </c>
      <c r="C311" s="14" t="s">
        <v>309</v>
      </c>
      <c r="D311" s="14" t="s">
        <v>391</v>
      </c>
      <c r="E311" s="5"/>
      <c r="F311" s="5">
        <v>65</v>
      </c>
      <c r="G311" s="5"/>
      <c r="H311" s="5"/>
      <c r="I311" s="5"/>
      <c r="J311" s="5"/>
      <c r="K311" s="5"/>
    </row>
    <row r="312" spans="1:11" hidden="1">
      <c r="A312" s="65" cm="1">
        <f t="array" ref="A312">IFERROR(INDEX('Master Vendor Data'!A:A, MATCH(TRUE, INDEX(TRIM('Master Vendor Data'!C:C)=TRIM(C312), 0), 0)), "")</f>
        <v>202</v>
      </c>
      <c r="B312" s="14" t="s">
        <v>53</v>
      </c>
      <c r="C312" s="14" t="s">
        <v>310</v>
      </c>
      <c r="D312" s="14" t="s">
        <v>391</v>
      </c>
      <c r="E312" s="5"/>
      <c r="F312" s="5">
        <v>196</v>
      </c>
      <c r="G312" s="5"/>
      <c r="H312" s="5"/>
      <c r="I312" s="5"/>
      <c r="J312" s="5"/>
      <c r="K312" s="5"/>
    </row>
    <row r="313" spans="1:11" hidden="1">
      <c r="A313" s="65" cm="1">
        <f t="array" ref="A313">IFERROR(INDEX('Master Vendor Data'!A:A, MATCH(TRUE, INDEX(TRIM('Master Vendor Data'!C:C)=TRIM(C313), 0), 0)), "")</f>
        <v>203</v>
      </c>
      <c r="B313" s="14" t="s">
        <v>53</v>
      </c>
      <c r="C313" s="14" t="s">
        <v>311</v>
      </c>
      <c r="D313" s="14" t="s">
        <v>391</v>
      </c>
      <c r="E313" s="5"/>
      <c r="F313" s="5">
        <v>50</v>
      </c>
      <c r="G313" s="5"/>
      <c r="H313" s="5"/>
      <c r="I313" s="5"/>
      <c r="J313" s="5"/>
      <c r="K313" s="5"/>
    </row>
    <row r="314" spans="1:11" hidden="1">
      <c r="A314" s="65" cm="1">
        <f t="array" ref="A314">IFERROR(INDEX('Master Vendor Data'!A:A, MATCH(TRUE, INDEX(TRIM('Master Vendor Data'!C:C)=TRIM(C314), 0), 0)), "")</f>
        <v>198</v>
      </c>
      <c r="B314" s="14" t="s">
        <v>53</v>
      </c>
      <c r="C314" s="14" t="s">
        <v>306</v>
      </c>
      <c r="D314" s="14" t="s">
        <v>503</v>
      </c>
      <c r="E314" s="5"/>
      <c r="F314" s="5">
        <v>41</v>
      </c>
      <c r="G314" s="5"/>
      <c r="H314" s="5"/>
      <c r="I314" s="5"/>
      <c r="J314" s="5"/>
      <c r="K314" s="5"/>
    </row>
    <row r="315" spans="1:11" hidden="1">
      <c r="A315" s="65" cm="1">
        <f t="array" ref="A315">IFERROR(INDEX('Master Vendor Data'!A:A, MATCH(TRUE, INDEX(TRIM('Master Vendor Data'!C:C)=TRIM(C315), 0), 0)), "")</f>
        <v>83</v>
      </c>
      <c r="B315" s="14" t="s">
        <v>53</v>
      </c>
      <c r="C315" s="39" t="s">
        <v>189</v>
      </c>
      <c r="D315" s="14" t="s">
        <v>504</v>
      </c>
      <c r="E315" s="5"/>
      <c r="F315" s="5">
        <v>617</v>
      </c>
      <c r="G315" s="5"/>
      <c r="H315" s="5"/>
      <c r="I315" s="5"/>
      <c r="J315" s="5"/>
      <c r="K315" s="5"/>
    </row>
    <row r="316" spans="1:11" hidden="1">
      <c r="A316" s="65" cm="1">
        <f t="array" ref="A316">IFERROR(INDEX('Master Vendor Data'!A:A, MATCH(TRUE, INDEX(TRIM('Master Vendor Data'!C:C)=TRIM(C316), 0), 0)), "")</f>
        <v>204</v>
      </c>
      <c r="B316" s="14" t="s">
        <v>53</v>
      </c>
      <c r="C316" s="14" t="s">
        <v>312</v>
      </c>
      <c r="D316" s="14" t="s">
        <v>504</v>
      </c>
      <c r="E316" s="5"/>
      <c r="F316" s="5">
        <v>1715</v>
      </c>
      <c r="G316" s="5"/>
      <c r="H316" s="5"/>
      <c r="I316" s="5"/>
      <c r="J316" s="5"/>
      <c r="K316" s="5"/>
    </row>
    <row r="317" spans="1:11" hidden="1">
      <c r="A317" s="65" cm="1">
        <f t="array" ref="A317">IFERROR(INDEX('Master Vendor Data'!A:A, MATCH(TRUE, INDEX(TRIM('Master Vendor Data'!C:C)=TRIM(C317), 0), 0)), "")</f>
        <v>205</v>
      </c>
      <c r="B317" s="14" t="s">
        <v>53</v>
      </c>
      <c r="C317" s="14" t="s">
        <v>313</v>
      </c>
      <c r="D317" s="14" t="s">
        <v>504</v>
      </c>
      <c r="E317" s="5"/>
      <c r="F317" s="5">
        <v>82</v>
      </c>
      <c r="G317" s="5"/>
      <c r="H317" s="5"/>
      <c r="I317" s="5"/>
      <c r="J317" s="5"/>
      <c r="K317" s="5"/>
    </row>
    <row r="318" spans="1:11" hidden="1">
      <c r="A318" s="65" cm="1">
        <f t="array" ref="A318">IFERROR(INDEX('Master Vendor Data'!A:A, MATCH(TRUE, INDEX(TRIM('Master Vendor Data'!C:C)=TRIM(C318), 0), 0)), "")</f>
        <v>206</v>
      </c>
      <c r="B318" s="14" t="s">
        <v>53</v>
      </c>
      <c r="C318" s="14" t="s">
        <v>314</v>
      </c>
      <c r="D318" s="14" t="s">
        <v>504</v>
      </c>
      <c r="E318" s="5"/>
      <c r="F318" s="5">
        <v>29</v>
      </c>
      <c r="G318" s="5"/>
      <c r="H318" s="5"/>
      <c r="I318" s="5"/>
      <c r="J318" s="5"/>
      <c r="K318" s="5"/>
    </row>
    <row r="319" spans="1:11" hidden="1">
      <c r="A319" s="65" cm="1">
        <f t="array" ref="A319">IFERROR(INDEX('Master Vendor Data'!A:A, MATCH(TRUE, INDEX(TRIM('Master Vendor Data'!C:C)=TRIM(C319), 0), 0)), "")</f>
        <v>20</v>
      </c>
      <c r="B319" s="14" t="s">
        <v>53</v>
      </c>
      <c r="C319" s="48" t="s">
        <v>502</v>
      </c>
      <c r="D319" s="14" t="s">
        <v>504</v>
      </c>
      <c r="E319" s="5"/>
      <c r="F319" s="5">
        <v>1025</v>
      </c>
      <c r="G319" s="5"/>
      <c r="H319" s="5"/>
      <c r="I319" s="5"/>
      <c r="J319" s="5"/>
      <c r="K319" s="5"/>
    </row>
    <row r="320" spans="1:11" hidden="1">
      <c r="A320" s="65" cm="1">
        <f t="array" ref="A320">IFERROR(INDEX('Master Vendor Data'!A:A, MATCH(TRUE, INDEX(TRIM('Master Vendor Data'!C:C)=TRIM(C320), 0), 0)), "")</f>
        <v>198</v>
      </c>
      <c r="B320" s="14" t="s">
        <v>53</v>
      </c>
      <c r="C320" s="14" t="s">
        <v>306</v>
      </c>
      <c r="D320" s="14" t="s">
        <v>504</v>
      </c>
      <c r="E320" s="5"/>
      <c r="F320" s="5">
        <v>3927</v>
      </c>
      <c r="G320" s="5"/>
      <c r="H320" s="5"/>
      <c r="I320" s="5"/>
      <c r="J320" s="5"/>
      <c r="K320" s="5"/>
    </row>
    <row r="321" spans="1:11" hidden="1">
      <c r="A321" s="65" cm="1">
        <f t="array" ref="A321">IFERROR(INDEX('Master Vendor Data'!A:A, MATCH(TRUE, INDEX(TRIM('Master Vendor Data'!C:C)=TRIM(C321), 0), 0)), "")</f>
        <v>21</v>
      </c>
      <c r="B321" s="14" t="s">
        <v>53</v>
      </c>
      <c r="C321" s="14" t="s">
        <v>505</v>
      </c>
      <c r="D321" s="14" t="s">
        <v>504</v>
      </c>
      <c r="E321" s="5"/>
      <c r="F321" s="5">
        <v>502</v>
      </c>
      <c r="G321" s="5"/>
      <c r="H321" s="5"/>
      <c r="I321" s="5"/>
      <c r="J321" s="5"/>
      <c r="K321" s="5"/>
    </row>
    <row r="322" spans="1:11" hidden="1">
      <c r="A322" s="65" cm="1">
        <f t="array" ref="A322">IFERROR(INDEX('Master Vendor Data'!A:A, MATCH(TRUE, INDEX(TRIM('Master Vendor Data'!C:C)=TRIM(C322), 0), 0)), "")</f>
        <v>202</v>
      </c>
      <c r="B322" s="14" t="s">
        <v>53</v>
      </c>
      <c r="C322" s="14" t="s">
        <v>310</v>
      </c>
      <c r="D322" s="14" t="s">
        <v>504</v>
      </c>
      <c r="E322" s="5"/>
      <c r="F322" s="5">
        <v>328</v>
      </c>
      <c r="G322" s="5"/>
      <c r="H322" s="5"/>
      <c r="I322" s="5"/>
      <c r="J322" s="5"/>
      <c r="K322" s="5"/>
    </row>
    <row r="323" spans="1:11" hidden="1">
      <c r="A323" s="65" cm="1">
        <f t="array" ref="A323">IFERROR(INDEX('Master Vendor Data'!A:A, MATCH(TRUE, INDEX(TRIM('Master Vendor Data'!C:C)=TRIM(C323), 0), 0)), "")</f>
        <v>207</v>
      </c>
      <c r="B323" s="14" t="s">
        <v>53</v>
      </c>
      <c r="C323" s="14" t="s">
        <v>315</v>
      </c>
      <c r="D323" s="14" t="s">
        <v>504</v>
      </c>
      <c r="E323" s="5"/>
      <c r="F323" s="5">
        <v>45</v>
      </c>
      <c r="G323" s="5"/>
      <c r="H323" s="5"/>
      <c r="I323" s="5"/>
      <c r="J323" s="5"/>
      <c r="K323" s="5"/>
    </row>
    <row r="324" spans="1:11" hidden="1">
      <c r="A324" s="65" cm="1">
        <f t="array" ref="A324">IFERROR(INDEX('Master Vendor Data'!A:A, MATCH(TRUE, INDEX(TRIM('Master Vendor Data'!C:C)=TRIM(C324), 0), 0)), "")</f>
        <v>208</v>
      </c>
      <c r="B324" s="14" t="s">
        <v>53</v>
      </c>
      <c r="C324" s="14" t="s">
        <v>316</v>
      </c>
      <c r="D324" s="14" t="s">
        <v>504</v>
      </c>
      <c r="E324" s="5"/>
      <c r="F324" s="5">
        <v>202</v>
      </c>
      <c r="G324" s="5"/>
      <c r="H324" s="5"/>
      <c r="I324" s="5"/>
      <c r="J324" s="5"/>
      <c r="K324" s="5"/>
    </row>
    <row r="325" spans="1:11" hidden="1">
      <c r="A325" s="65" cm="1">
        <f t="array" ref="A325">IFERROR(INDEX('Master Vendor Data'!A:A, MATCH(TRUE, INDEX(TRIM('Master Vendor Data'!C:C)=TRIM(C325), 0), 0)), "")</f>
        <v>203</v>
      </c>
      <c r="B325" s="14" t="s">
        <v>53</v>
      </c>
      <c r="C325" s="14" t="s">
        <v>311</v>
      </c>
      <c r="D325" s="14" t="s">
        <v>504</v>
      </c>
      <c r="E325" s="5"/>
      <c r="F325" s="5">
        <v>46</v>
      </c>
      <c r="G325" s="5"/>
      <c r="H325" s="5"/>
      <c r="I325" s="5"/>
      <c r="J325" s="5"/>
      <c r="K325" s="5"/>
    </row>
    <row r="326" spans="1:11" hidden="1">
      <c r="A326" s="65" cm="1">
        <f t="array" ref="A326">IFERROR(INDEX('Master Vendor Data'!A:A, MATCH(TRUE, INDEX(TRIM('Master Vendor Data'!C:C)=TRIM(C326), 0), 0)), "")</f>
        <v>30</v>
      </c>
      <c r="B326" s="14" t="s">
        <v>74</v>
      </c>
      <c r="C326" s="48" t="s">
        <v>506</v>
      </c>
      <c r="D326" s="14" t="s">
        <v>84</v>
      </c>
      <c r="E326" s="5"/>
      <c r="F326" s="5">
        <v>641</v>
      </c>
      <c r="G326" s="5"/>
      <c r="H326" s="5"/>
      <c r="I326" s="5"/>
      <c r="J326" s="5"/>
      <c r="K326" s="5"/>
    </row>
    <row r="327" spans="1:11" hidden="1">
      <c r="A327" s="65" cm="1">
        <f t="array" ref="A327">IFERROR(INDEX('Master Vendor Data'!A:A, MATCH(TRUE, INDEX(TRIM('Master Vendor Data'!C:C)=TRIM(C327), 0), 0)), "")</f>
        <v>209</v>
      </c>
      <c r="B327" s="14" t="s">
        <v>74</v>
      </c>
      <c r="C327" s="14" t="s">
        <v>317</v>
      </c>
      <c r="D327" s="14" t="s">
        <v>84</v>
      </c>
      <c r="E327" s="5"/>
      <c r="F327" s="5">
        <v>731</v>
      </c>
      <c r="G327" s="5"/>
      <c r="H327" s="5"/>
      <c r="I327" s="5"/>
      <c r="J327" s="5"/>
      <c r="K327" s="5"/>
    </row>
    <row r="328" spans="1:11" hidden="1">
      <c r="A328" s="65" cm="1">
        <f t="array" ref="A328">IFERROR(INDEX('Master Vendor Data'!A:A, MATCH(TRUE, INDEX(TRIM('Master Vendor Data'!C:C)=TRIM(C328), 0), 0)), "")</f>
        <v>210</v>
      </c>
      <c r="B328" s="14" t="s">
        <v>74</v>
      </c>
      <c r="C328" s="14" t="s">
        <v>318</v>
      </c>
      <c r="D328" s="14" t="s">
        <v>84</v>
      </c>
      <c r="E328" s="5"/>
      <c r="F328" s="5">
        <v>151</v>
      </c>
      <c r="G328" s="5"/>
      <c r="H328" s="5"/>
      <c r="I328" s="5"/>
      <c r="J328" s="5"/>
      <c r="K328" s="5"/>
    </row>
    <row r="329" spans="1:11" hidden="1">
      <c r="A329" s="65" cm="1">
        <f t="array" ref="A329">IFERROR(INDEX('Master Vendor Data'!A:A, MATCH(TRUE, INDEX(TRIM('Master Vendor Data'!C:C)=TRIM(C329), 0), 0)), "")</f>
        <v>211</v>
      </c>
      <c r="B329" s="14" t="s">
        <v>74</v>
      </c>
      <c r="C329" s="14" t="s">
        <v>319</v>
      </c>
      <c r="D329" s="14" t="s">
        <v>84</v>
      </c>
      <c r="E329" s="5"/>
      <c r="F329" s="5">
        <v>46</v>
      </c>
      <c r="G329" s="5"/>
      <c r="H329" s="5"/>
      <c r="I329" s="5"/>
      <c r="J329" s="5"/>
      <c r="K329" s="5"/>
    </row>
    <row r="330" spans="1:11" hidden="1">
      <c r="A330" s="65" cm="1">
        <f t="array" ref="A330">IFERROR(INDEX('Master Vendor Data'!A:A, MATCH(TRUE, INDEX(TRIM('Master Vendor Data'!C:C)=TRIM(C330), 0), 0)), "")</f>
        <v>212</v>
      </c>
      <c r="B330" s="14" t="s">
        <v>74</v>
      </c>
      <c r="C330" s="14" t="s">
        <v>320</v>
      </c>
      <c r="D330" s="14" t="s">
        <v>84</v>
      </c>
      <c r="E330" s="5"/>
      <c r="F330" s="5">
        <v>547</v>
      </c>
      <c r="G330" s="5"/>
      <c r="H330" s="5"/>
      <c r="I330" s="5"/>
      <c r="J330" s="5"/>
      <c r="K330" s="5"/>
    </row>
    <row r="331" spans="1:11" hidden="1">
      <c r="A331" s="65" cm="1">
        <f t="array" ref="A331">IFERROR(INDEX('Master Vendor Data'!A:A, MATCH(TRUE, INDEX(TRIM('Master Vendor Data'!C:C)=TRIM(C331), 0), 0)), "")</f>
        <v>213</v>
      </c>
      <c r="B331" s="14" t="s">
        <v>74</v>
      </c>
      <c r="C331" s="14" t="s">
        <v>321</v>
      </c>
      <c r="D331" s="14" t="s">
        <v>84</v>
      </c>
      <c r="E331" s="5"/>
      <c r="F331" s="5">
        <v>57</v>
      </c>
      <c r="G331" s="5"/>
      <c r="H331" s="5"/>
      <c r="I331" s="5"/>
      <c r="J331" s="5"/>
      <c r="K331" s="5"/>
    </row>
    <row r="332" spans="1:11" hidden="1">
      <c r="A332" s="65" cm="1">
        <f t="array" ref="A332">IFERROR(INDEX('Master Vendor Data'!A:A, MATCH(TRUE, INDEX(TRIM('Master Vendor Data'!C:C)=TRIM(C332), 0), 0)), "")</f>
        <v>214</v>
      </c>
      <c r="B332" s="14" t="s">
        <v>74</v>
      </c>
      <c r="C332" s="14" t="s">
        <v>322</v>
      </c>
      <c r="D332" s="14" t="s">
        <v>84</v>
      </c>
      <c r="E332" s="5"/>
      <c r="F332" s="5">
        <v>359</v>
      </c>
      <c r="G332" s="5"/>
      <c r="H332" s="5"/>
      <c r="I332" s="5"/>
      <c r="J332" s="5"/>
      <c r="K332" s="5"/>
    </row>
    <row r="333" spans="1:11" hidden="1">
      <c r="A333" s="65" cm="1">
        <f t="array" ref="A333">IFERROR(INDEX('Master Vendor Data'!A:A, MATCH(TRUE, INDEX(TRIM('Master Vendor Data'!C:C)=TRIM(C333), 0), 0)), "")</f>
        <v>215</v>
      </c>
      <c r="B333" s="14" t="s">
        <v>74</v>
      </c>
      <c r="C333" s="14" t="s">
        <v>323</v>
      </c>
      <c r="D333" s="14" t="s">
        <v>84</v>
      </c>
      <c r="E333" s="5"/>
      <c r="F333" s="5">
        <v>190</v>
      </c>
      <c r="G333" s="5"/>
      <c r="H333" s="5"/>
      <c r="I333" s="5"/>
      <c r="J333" s="5"/>
      <c r="K333" s="5"/>
    </row>
    <row r="334" spans="1:11" hidden="1">
      <c r="A334" s="65" cm="1">
        <f t="array" ref="A334">IFERROR(INDEX('Master Vendor Data'!A:A, MATCH(TRUE, INDEX(TRIM('Master Vendor Data'!C:C)=TRIM(C334), 0), 0)), "")</f>
        <v>79</v>
      </c>
      <c r="B334" s="14" t="s">
        <v>74</v>
      </c>
      <c r="C334" s="39" t="s">
        <v>184</v>
      </c>
      <c r="D334" s="14" t="s">
        <v>384</v>
      </c>
      <c r="E334" s="5"/>
      <c r="F334" s="5">
        <v>170</v>
      </c>
      <c r="G334" s="5"/>
      <c r="H334" s="5"/>
      <c r="I334" s="5"/>
      <c r="J334" s="5"/>
      <c r="K334" s="5"/>
    </row>
    <row r="335" spans="1:11" hidden="1">
      <c r="A335" s="65" cm="1">
        <f t="array" ref="A335">IFERROR(INDEX('Master Vendor Data'!A:A, MATCH(TRUE, INDEX(TRIM('Master Vendor Data'!C:C)=TRIM(C335), 0), 0)), "")</f>
        <v>79</v>
      </c>
      <c r="B335" s="14" t="s">
        <v>74</v>
      </c>
      <c r="C335" s="39" t="s">
        <v>184</v>
      </c>
      <c r="D335" s="14" t="s">
        <v>385</v>
      </c>
      <c r="E335" s="5"/>
      <c r="F335" s="5">
        <v>326</v>
      </c>
      <c r="G335" s="5"/>
      <c r="H335" s="5"/>
      <c r="I335" s="5"/>
      <c r="J335" s="5"/>
      <c r="K335" s="5"/>
    </row>
    <row r="336" spans="1:11" hidden="1">
      <c r="A336" s="65" cm="1">
        <f t="array" ref="A336">IFERROR(INDEX('Master Vendor Data'!A:A, MATCH(TRUE, INDEX(TRIM('Master Vendor Data'!C:C)=TRIM(C336), 0), 0)), "")</f>
        <v>112</v>
      </c>
      <c r="B336" s="14" t="s">
        <v>74</v>
      </c>
      <c r="C336" s="14" t="s">
        <v>219</v>
      </c>
      <c r="D336" s="14" t="s">
        <v>385</v>
      </c>
      <c r="E336" s="5"/>
      <c r="F336" s="5">
        <v>563</v>
      </c>
      <c r="G336" s="5"/>
      <c r="H336" s="5"/>
      <c r="I336" s="5"/>
      <c r="J336" s="5"/>
      <c r="K336" s="5"/>
    </row>
    <row r="337" spans="1:11" hidden="1">
      <c r="A337" s="65" cm="1">
        <f t="array" ref="A337">IFERROR(INDEX('Master Vendor Data'!A:A, MATCH(TRUE, INDEX(TRIM('Master Vendor Data'!C:C)=TRIM(C337), 0), 0)), "")</f>
        <v>171</v>
      </c>
      <c r="B337" s="14" t="s">
        <v>74</v>
      </c>
      <c r="C337" s="14" t="s">
        <v>279</v>
      </c>
      <c r="D337" s="14" t="s">
        <v>385</v>
      </c>
      <c r="E337" s="5"/>
      <c r="F337" s="5">
        <v>504</v>
      </c>
      <c r="G337" s="5"/>
      <c r="H337" s="5"/>
      <c r="I337" s="5"/>
      <c r="J337" s="5"/>
      <c r="K337" s="5"/>
    </row>
    <row r="338" spans="1:11" hidden="1">
      <c r="A338" s="65" cm="1">
        <f t="array" ref="A338">IFERROR(INDEX('Master Vendor Data'!A:A, MATCH(TRUE, INDEX(TRIM('Master Vendor Data'!C:C)=TRIM(C338), 0), 0)), "")</f>
        <v>216</v>
      </c>
      <c r="B338" s="14" t="s">
        <v>74</v>
      </c>
      <c r="C338" s="14" t="s">
        <v>324</v>
      </c>
      <c r="D338" s="14" t="s">
        <v>492</v>
      </c>
      <c r="E338" s="5"/>
      <c r="F338" s="5">
        <v>4</v>
      </c>
      <c r="G338" s="5"/>
      <c r="H338" s="5"/>
      <c r="I338" s="5"/>
      <c r="J338" s="5"/>
      <c r="K338" s="5"/>
    </row>
    <row r="339" spans="1:11" hidden="1">
      <c r="A339" s="65" cm="1">
        <f t="array" ref="A339">IFERROR(INDEX('Master Vendor Data'!A:A, MATCH(TRUE, INDEX(TRIM('Master Vendor Data'!C:C)=TRIM(C339), 0), 0)), "")</f>
        <v>28</v>
      </c>
      <c r="B339" s="14" t="s">
        <v>74</v>
      </c>
      <c r="C339" s="14" t="s">
        <v>507</v>
      </c>
      <c r="D339" s="14" t="s">
        <v>492</v>
      </c>
      <c r="E339" s="5"/>
      <c r="F339" s="5">
        <v>473</v>
      </c>
      <c r="G339" s="5"/>
      <c r="H339" s="5"/>
      <c r="I339" s="5"/>
      <c r="J339" s="5"/>
      <c r="K339" s="5"/>
    </row>
    <row r="340" spans="1:11" hidden="1">
      <c r="A340" s="65" cm="1">
        <f t="array" ref="A340">IFERROR(INDEX('Master Vendor Data'!A:A, MATCH(TRUE, INDEX(TRIM('Master Vendor Data'!C:C)=TRIM(C340), 0), 0)), "")</f>
        <v>217</v>
      </c>
      <c r="B340" s="14" t="s">
        <v>74</v>
      </c>
      <c r="C340" s="14" t="s">
        <v>325</v>
      </c>
      <c r="D340" s="14" t="s">
        <v>492</v>
      </c>
      <c r="E340" s="5"/>
      <c r="F340" s="5">
        <v>144</v>
      </c>
      <c r="G340" s="5"/>
      <c r="H340" s="5"/>
      <c r="I340" s="5"/>
      <c r="J340" s="5"/>
      <c r="K340" s="5"/>
    </row>
    <row r="341" spans="1:11" hidden="1">
      <c r="A341" s="65" cm="1">
        <f t="array" ref="A341">IFERROR(INDEX('Master Vendor Data'!A:A, MATCH(TRUE, INDEX(TRIM('Master Vendor Data'!C:C)=TRIM(C341), 0), 0)), "")</f>
        <v>212</v>
      </c>
      <c r="B341" s="14" t="s">
        <v>74</v>
      </c>
      <c r="C341" s="14" t="s">
        <v>320</v>
      </c>
      <c r="D341" s="14" t="s">
        <v>492</v>
      </c>
      <c r="E341" s="5"/>
      <c r="F341" s="5">
        <v>520</v>
      </c>
      <c r="G341" s="5"/>
      <c r="H341" s="5"/>
      <c r="I341" s="5"/>
      <c r="J341" s="5"/>
      <c r="K341" s="5"/>
    </row>
    <row r="342" spans="1:11" hidden="1">
      <c r="A342" s="65" cm="1">
        <f t="array" ref="A342">IFERROR(INDEX('Master Vendor Data'!A:A, MATCH(TRUE, INDEX(TRIM('Master Vendor Data'!C:C)=TRIM(C342), 0), 0)), "")</f>
        <v>218</v>
      </c>
      <c r="B342" s="14" t="s">
        <v>74</v>
      </c>
      <c r="C342" s="14" t="s">
        <v>326</v>
      </c>
      <c r="D342" s="14" t="s">
        <v>508</v>
      </c>
      <c r="E342" s="5"/>
      <c r="F342" s="5">
        <v>15</v>
      </c>
      <c r="G342" s="5"/>
      <c r="H342" s="5"/>
      <c r="I342" s="5"/>
      <c r="J342" s="5"/>
      <c r="K342" s="5"/>
    </row>
    <row r="343" spans="1:11" hidden="1">
      <c r="A343" s="65" cm="1">
        <f t="array" ref="A343">IFERROR(INDEX('Master Vendor Data'!A:A, MATCH(TRUE, INDEX(TRIM('Master Vendor Data'!C:C)=TRIM(C343), 0), 0)), "")</f>
        <v>219</v>
      </c>
      <c r="B343" s="14" t="s">
        <v>128</v>
      </c>
      <c r="C343" s="14" t="s">
        <v>327</v>
      </c>
      <c r="D343" s="14" t="s">
        <v>509</v>
      </c>
      <c r="E343" s="5"/>
      <c r="F343" s="5">
        <v>223</v>
      </c>
      <c r="G343" s="5"/>
      <c r="H343" s="5"/>
      <c r="I343" s="5"/>
      <c r="J343" s="5"/>
      <c r="K343" s="5"/>
    </row>
    <row r="344" spans="1:11" hidden="1">
      <c r="A344" s="65" cm="1">
        <f t="array" ref="A344">IFERROR(INDEX('Master Vendor Data'!A:A, MATCH(TRUE, INDEX(TRIM('Master Vendor Data'!C:C)=TRIM(C344), 0), 0)), "")</f>
        <v>113</v>
      </c>
      <c r="B344" s="14" t="s">
        <v>128</v>
      </c>
      <c r="C344" s="14" t="s">
        <v>220</v>
      </c>
      <c r="D344" s="14" t="s">
        <v>509</v>
      </c>
      <c r="E344" s="5"/>
      <c r="F344" s="5">
        <v>69</v>
      </c>
      <c r="G344" s="5"/>
      <c r="H344" s="5"/>
      <c r="I344" s="5"/>
      <c r="J344" s="5"/>
      <c r="K344" s="5"/>
    </row>
    <row r="345" spans="1:11" hidden="1">
      <c r="A345" s="65" cm="1">
        <f t="array" ref="A345">IFERROR(INDEX('Master Vendor Data'!A:A, MATCH(TRUE, INDEX(TRIM('Master Vendor Data'!C:C)=TRIM(C345), 0), 0)), "")</f>
        <v>54</v>
      </c>
      <c r="B345" s="14" t="s">
        <v>128</v>
      </c>
      <c r="C345" s="48" t="s">
        <v>510</v>
      </c>
      <c r="D345" s="14" t="s">
        <v>509</v>
      </c>
      <c r="E345" s="5"/>
      <c r="F345" s="5">
        <v>189</v>
      </c>
      <c r="G345" s="5"/>
      <c r="H345" s="5"/>
      <c r="I345" s="5"/>
      <c r="J345" s="5"/>
      <c r="K345" s="5"/>
    </row>
    <row r="346" spans="1:11" hidden="1">
      <c r="A346" s="65" cm="1">
        <f t="array" ref="A346">IFERROR(INDEX('Master Vendor Data'!A:A, MATCH(TRUE, INDEX(TRIM('Master Vendor Data'!C:C)=TRIM(C346), 0), 0)), "")</f>
        <v>220</v>
      </c>
      <c r="B346" s="14" t="s">
        <v>128</v>
      </c>
      <c r="C346" s="14" t="s">
        <v>328</v>
      </c>
      <c r="D346" s="14" t="s">
        <v>509</v>
      </c>
      <c r="E346" s="5"/>
      <c r="F346" s="5">
        <v>236</v>
      </c>
      <c r="G346" s="5"/>
      <c r="H346" s="5"/>
      <c r="I346" s="5"/>
      <c r="J346" s="5"/>
      <c r="K346" s="5"/>
    </row>
    <row r="347" spans="1:11" hidden="1">
      <c r="A347" s="65" cm="1">
        <f t="array" ref="A347">IFERROR(INDEX('Master Vendor Data'!A:A, MATCH(TRUE, INDEX(TRIM('Master Vendor Data'!C:C)=TRIM(C347), 0), 0)), "")</f>
        <v>221</v>
      </c>
      <c r="B347" s="14" t="s">
        <v>128</v>
      </c>
      <c r="C347" s="14" t="s">
        <v>329</v>
      </c>
      <c r="D347" s="14" t="s">
        <v>511</v>
      </c>
      <c r="E347" s="5"/>
      <c r="F347" s="5">
        <v>272</v>
      </c>
      <c r="G347" s="5"/>
      <c r="H347" s="5"/>
      <c r="I347" s="5"/>
      <c r="J347" s="5"/>
      <c r="K347" s="5"/>
    </row>
    <row r="348" spans="1:11" hidden="1">
      <c r="A348" s="65" cm="1">
        <f t="array" ref="A348">IFERROR(INDEX('Master Vendor Data'!A:A, MATCH(TRUE, INDEX(TRIM('Master Vendor Data'!C:C)=TRIM(C348), 0), 0)), "")</f>
        <v>113</v>
      </c>
      <c r="B348" s="14" t="s">
        <v>128</v>
      </c>
      <c r="C348" s="14" t="s">
        <v>220</v>
      </c>
      <c r="D348" s="14" t="s">
        <v>511</v>
      </c>
      <c r="E348" s="5"/>
      <c r="F348" s="5">
        <v>485</v>
      </c>
      <c r="G348" s="5"/>
      <c r="H348" s="5"/>
      <c r="I348" s="5"/>
      <c r="J348" s="5"/>
      <c r="K348" s="5"/>
    </row>
    <row r="349" spans="1:11" hidden="1">
      <c r="A349" s="65" cm="1">
        <f t="array" ref="A349">IFERROR(INDEX('Master Vendor Data'!A:A, MATCH(TRUE, INDEX(TRIM('Master Vendor Data'!C:C)=TRIM(C349), 0), 0)), "")</f>
        <v>222</v>
      </c>
      <c r="B349" s="14" t="s">
        <v>128</v>
      </c>
      <c r="C349" s="14" t="s">
        <v>330</v>
      </c>
      <c r="D349" s="14" t="s">
        <v>511</v>
      </c>
      <c r="E349" s="5"/>
      <c r="F349" s="5">
        <v>114</v>
      </c>
      <c r="G349" s="5"/>
      <c r="H349" s="5"/>
      <c r="I349" s="5"/>
      <c r="J349" s="5"/>
      <c r="K349" s="5"/>
    </row>
    <row r="350" spans="1:11" hidden="1">
      <c r="A350" s="65" cm="1">
        <f t="array" ref="A350">IFERROR(INDEX('Master Vendor Data'!A:A, MATCH(TRUE, INDEX(TRIM('Master Vendor Data'!C:C)=TRIM(C350), 0), 0)), "")</f>
        <v>223</v>
      </c>
      <c r="B350" s="14" t="s">
        <v>128</v>
      </c>
      <c r="C350" s="14" t="s">
        <v>331</v>
      </c>
      <c r="D350" s="14" t="s">
        <v>511</v>
      </c>
      <c r="E350" s="5"/>
      <c r="F350" s="5">
        <v>187</v>
      </c>
      <c r="G350" s="5"/>
      <c r="H350" s="5"/>
      <c r="I350" s="5"/>
      <c r="J350" s="5"/>
      <c r="K350" s="5"/>
    </row>
    <row r="351" spans="1:11" hidden="1">
      <c r="A351" s="65" cm="1">
        <f t="array" ref="A351">IFERROR(INDEX('Master Vendor Data'!A:A, MATCH(TRUE, INDEX(TRIM('Master Vendor Data'!C:C)=TRIM(C351), 0), 0)), "")</f>
        <v>224</v>
      </c>
      <c r="B351" s="14" t="s">
        <v>128</v>
      </c>
      <c r="C351" s="14" t="s">
        <v>332</v>
      </c>
      <c r="D351" s="14" t="s">
        <v>511</v>
      </c>
      <c r="E351" s="5"/>
      <c r="F351" s="5">
        <v>1233</v>
      </c>
      <c r="G351" s="5"/>
      <c r="H351" s="5"/>
      <c r="I351" s="5"/>
      <c r="J351" s="5"/>
      <c r="K351" s="5"/>
    </row>
    <row r="352" spans="1:11" hidden="1">
      <c r="A352" s="65" cm="1">
        <f t="array" ref="A352">IFERROR(INDEX('Master Vendor Data'!A:A, MATCH(TRUE, INDEX(TRIM('Master Vendor Data'!C:C)=TRIM(C352), 0), 0)), "")</f>
        <v>225</v>
      </c>
      <c r="B352" s="14" t="s">
        <v>128</v>
      </c>
      <c r="C352" s="14" t="s">
        <v>333</v>
      </c>
      <c r="D352" s="14" t="s">
        <v>512</v>
      </c>
      <c r="E352" s="5"/>
      <c r="F352" s="5">
        <v>66</v>
      </c>
      <c r="G352" s="5"/>
      <c r="H352" s="5"/>
      <c r="I352" s="5"/>
      <c r="J352" s="5"/>
      <c r="K352" s="5"/>
    </row>
    <row r="353" spans="1:11" hidden="1">
      <c r="A353" s="65" cm="1">
        <f t="array" ref="A353">IFERROR(INDEX('Master Vendor Data'!A:A, MATCH(TRUE, INDEX(TRIM('Master Vendor Data'!C:C)=TRIM(C353), 0), 0)), "")</f>
        <v>125</v>
      </c>
      <c r="B353" s="14" t="s">
        <v>128</v>
      </c>
      <c r="C353" s="14" t="s">
        <v>233</v>
      </c>
      <c r="D353" s="14" t="s">
        <v>512</v>
      </c>
      <c r="E353" s="5"/>
      <c r="F353" s="5">
        <v>21</v>
      </c>
      <c r="G353" s="5"/>
      <c r="H353" s="5"/>
      <c r="I353" s="5"/>
      <c r="J353" s="5"/>
      <c r="K353" s="5"/>
    </row>
    <row r="354" spans="1:11" hidden="1">
      <c r="A354" s="65" cm="1">
        <f t="array" ref="A354">IFERROR(INDEX('Master Vendor Data'!A:A, MATCH(TRUE, INDEX(TRIM('Master Vendor Data'!C:C)=TRIM(C354), 0), 0)), "")</f>
        <v>56</v>
      </c>
      <c r="B354" s="14" t="s">
        <v>128</v>
      </c>
      <c r="C354" s="48" t="s">
        <v>513</v>
      </c>
      <c r="D354" s="14" t="s">
        <v>512</v>
      </c>
      <c r="E354" s="5"/>
      <c r="F354" s="5">
        <v>633</v>
      </c>
      <c r="G354" s="5"/>
      <c r="H354" s="5"/>
      <c r="I354" s="5"/>
      <c r="J354" s="5"/>
      <c r="K354" s="5"/>
    </row>
    <row r="355" spans="1:11" hidden="1">
      <c r="A355" s="65" cm="1">
        <f t="array" ref="A355">IFERROR(INDEX('Master Vendor Data'!A:A, MATCH(TRUE, INDEX(TRIM('Master Vendor Data'!C:C)=TRIM(C355), 0), 0)), "")</f>
        <v>226</v>
      </c>
      <c r="B355" s="14" t="s">
        <v>128</v>
      </c>
      <c r="C355" s="14" t="s">
        <v>334</v>
      </c>
      <c r="D355" s="14" t="s">
        <v>512</v>
      </c>
      <c r="E355" s="5"/>
      <c r="F355" s="5">
        <v>228</v>
      </c>
      <c r="G355" s="5"/>
      <c r="H355" s="5"/>
      <c r="I355" s="5"/>
      <c r="J355" s="5"/>
      <c r="K355" s="5"/>
    </row>
    <row r="356" spans="1:11" hidden="1">
      <c r="A356" s="65" cm="1">
        <f t="array" ref="A356">IFERROR(INDEX('Master Vendor Data'!A:A, MATCH(TRUE, INDEX(TRIM('Master Vendor Data'!C:C)=TRIM(C356), 0), 0)), "")</f>
        <v>227</v>
      </c>
      <c r="B356" s="14" t="s">
        <v>128</v>
      </c>
      <c r="C356" s="14" t="s">
        <v>335</v>
      </c>
      <c r="D356" s="14" t="s">
        <v>512</v>
      </c>
      <c r="E356" s="5"/>
      <c r="F356" s="5">
        <v>602</v>
      </c>
      <c r="G356" s="5"/>
      <c r="H356" s="5"/>
      <c r="I356" s="5"/>
      <c r="J356" s="5"/>
      <c r="K356" s="5"/>
    </row>
    <row r="357" spans="1:11" hidden="1">
      <c r="A357" s="65" cm="1">
        <f t="array" ref="A357">IFERROR(INDEX('Master Vendor Data'!A:A, MATCH(TRUE, INDEX(TRIM('Master Vendor Data'!C:C)=TRIM(C357), 0), 0)), "")</f>
        <v>35</v>
      </c>
      <c r="B357" s="14" t="s">
        <v>92</v>
      </c>
      <c r="C357" s="14" t="s">
        <v>93</v>
      </c>
      <c r="D357" s="14" t="s">
        <v>514</v>
      </c>
      <c r="E357" s="5"/>
      <c r="F357" s="5">
        <v>70</v>
      </c>
      <c r="G357" s="5"/>
      <c r="H357" s="5"/>
      <c r="I357" s="5"/>
      <c r="J357" s="5"/>
      <c r="K357" s="5"/>
    </row>
    <row r="358" spans="1:11" hidden="1">
      <c r="A358" s="65" cm="1">
        <f t="array" ref="A358">IFERROR(INDEX('Master Vendor Data'!A:A, MATCH(TRUE, INDEX(TRIM('Master Vendor Data'!C:C)=TRIM(C358), 0), 0)), "")</f>
        <v>228</v>
      </c>
      <c r="B358" s="14" t="s">
        <v>92</v>
      </c>
      <c r="C358" s="14" t="s">
        <v>336</v>
      </c>
      <c r="D358" s="14" t="s">
        <v>514</v>
      </c>
      <c r="E358" s="5"/>
      <c r="F358" s="5">
        <v>182</v>
      </c>
      <c r="G358" s="5"/>
      <c r="H358" s="5"/>
      <c r="I358" s="5"/>
      <c r="J358" s="5"/>
      <c r="K358" s="5"/>
    </row>
    <row r="359" spans="1:11" hidden="1">
      <c r="A359" s="65" cm="1">
        <f t="array" ref="A359">IFERROR(INDEX('Master Vendor Data'!A:A, MATCH(TRUE, INDEX(TRIM('Master Vendor Data'!C:C)=TRIM(C359), 0), 0)), "")</f>
        <v>229</v>
      </c>
      <c r="B359" s="14" t="s">
        <v>92</v>
      </c>
      <c r="C359" s="14" t="s">
        <v>337</v>
      </c>
      <c r="D359" s="14" t="s">
        <v>514</v>
      </c>
      <c r="E359" s="5"/>
      <c r="F359" s="5">
        <v>7</v>
      </c>
      <c r="G359" s="5"/>
      <c r="H359" s="5"/>
      <c r="I359" s="5"/>
      <c r="J359" s="5"/>
      <c r="K359" s="5"/>
    </row>
    <row r="360" spans="1:11" hidden="1">
      <c r="A360" s="65" cm="1">
        <f t="array" ref="A360">IFERROR(INDEX('Master Vendor Data'!A:A, MATCH(TRUE, INDEX(TRIM('Master Vendor Data'!C:C)=TRIM(C360), 0), 0)), "")</f>
        <v>41</v>
      </c>
      <c r="B360" s="14" t="s">
        <v>108</v>
      </c>
      <c r="C360" s="60" t="s">
        <v>107</v>
      </c>
      <c r="D360" s="14" t="s">
        <v>515</v>
      </c>
      <c r="E360" s="5"/>
      <c r="F360" s="5">
        <v>749</v>
      </c>
      <c r="G360" s="5"/>
      <c r="H360" s="5"/>
      <c r="I360" s="5"/>
      <c r="J360" s="5"/>
      <c r="K360" s="5"/>
    </row>
    <row r="361" spans="1:11" hidden="1">
      <c r="A361" s="65" cm="1">
        <f t="array" ref="A361">IFERROR(INDEX('Master Vendor Data'!A:A, MATCH(TRUE, INDEX(TRIM('Master Vendor Data'!C:C)=TRIM(C361), 0), 0)), "")</f>
        <v>230</v>
      </c>
      <c r="B361" s="14" t="s">
        <v>108</v>
      </c>
      <c r="C361" s="14" t="s">
        <v>338</v>
      </c>
      <c r="D361" s="14" t="s">
        <v>515</v>
      </c>
      <c r="E361" s="5"/>
      <c r="F361" s="5">
        <v>1017</v>
      </c>
      <c r="G361" s="5"/>
      <c r="H361" s="5"/>
      <c r="I361" s="5"/>
      <c r="J361" s="5"/>
      <c r="K361" s="5"/>
    </row>
    <row r="362" spans="1:11" hidden="1">
      <c r="A362" s="65" cm="1">
        <f t="array" ref="A362">IFERROR(INDEX('Master Vendor Data'!A:A, MATCH(TRUE, INDEX(TRIM('Master Vendor Data'!C:C)=TRIM(C362), 0), 0)), "")</f>
        <v>231</v>
      </c>
      <c r="B362" s="14" t="s">
        <v>108</v>
      </c>
      <c r="C362" s="14" t="s">
        <v>339</v>
      </c>
      <c r="D362" s="14" t="s">
        <v>515</v>
      </c>
      <c r="E362" s="5"/>
      <c r="F362" s="5">
        <v>80</v>
      </c>
      <c r="G362" s="5"/>
      <c r="H362" s="5"/>
      <c r="I362" s="5"/>
      <c r="J362" s="5"/>
      <c r="K362" s="5"/>
    </row>
    <row r="363" spans="1:11" hidden="1">
      <c r="A363" s="65" cm="1">
        <f t="array" ref="A363">IFERROR(INDEX('Master Vendor Data'!A:A, MATCH(TRUE, INDEX(TRIM('Master Vendor Data'!C:C)=TRIM(C363), 0), 0)), "")</f>
        <v>232</v>
      </c>
      <c r="B363" s="14" t="s">
        <v>108</v>
      </c>
      <c r="C363" s="14" t="s">
        <v>340</v>
      </c>
      <c r="D363" s="14" t="s">
        <v>515</v>
      </c>
      <c r="E363" s="5"/>
      <c r="F363" s="5">
        <v>93</v>
      </c>
      <c r="G363" s="5"/>
      <c r="H363" s="5"/>
      <c r="I363" s="5"/>
      <c r="J363" s="5"/>
      <c r="K363" s="5"/>
    </row>
    <row r="364" spans="1:11" hidden="1">
      <c r="A364" s="65" cm="1">
        <f t="array" ref="A364">IFERROR(INDEX('Master Vendor Data'!A:A, MATCH(TRUE, INDEX(TRIM('Master Vendor Data'!C:C)=TRIM(C364), 0), 0)), "")</f>
        <v>233</v>
      </c>
      <c r="B364" s="14" t="s">
        <v>108</v>
      </c>
      <c r="C364" s="14" t="s">
        <v>341</v>
      </c>
      <c r="D364" s="14" t="s">
        <v>515</v>
      </c>
      <c r="E364" s="5"/>
      <c r="F364" s="5">
        <v>144</v>
      </c>
      <c r="G364" s="5"/>
      <c r="H364" s="5"/>
      <c r="I364" s="5"/>
      <c r="J364" s="5"/>
      <c r="K364" s="5"/>
    </row>
    <row r="365" spans="1:11" hidden="1">
      <c r="A365" s="65" cm="1">
        <f t="array" ref="A365">IFERROR(INDEX('Master Vendor Data'!A:A, MATCH(TRUE, INDEX(TRIM('Master Vendor Data'!C:C)=TRIM(C365), 0), 0)), "")</f>
        <v>168</v>
      </c>
      <c r="B365" s="14" t="s">
        <v>108</v>
      </c>
      <c r="C365" s="14" t="s">
        <v>276</v>
      </c>
      <c r="D365" s="14" t="s">
        <v>515</v>
      </c>
      <c r="E365" s="5"/>
      <c r="F365" s="5">
        <v>634</v>
      </c>
      <c r="G365" s="5"/>
      <c r="H365" s="5"/>
      <c r="I365" s="5"/>
      <c r="J365" s="5"/>
      <c r="K365" s="5"/>
    </row>
    <row r="366" spans="1:11" hidden="1">
      <c r="A366" s="65" cm="1">
        <f t="array" ref="A366">IFERROR(INDEX('Master Vendor Data'!A:A, MATCH(TRUE, INDEX(TRIM('Master Vendor Data'!C:C)=TRIM(C366), 0), 0)), "")</f>
        <v>42</v>
      </c>
      <c r="B366" s="14" t="s">
        <v>108</v>
      </c>
      <c r="C366" s="14" t="s">
        <v>477</v>
      </c>
      <c r="D366" s="14" t="s">
        <v>515</v>
      </c>
      <c r="E366" s="5"/>
      <c r="F366" s="5">
        <v>270</v>
      </c>
      <c r="G366" s="5"/>
      <c r="H366" s="5"/>
      <c r="I366" s="5"/>
      <c r="J366" s="5"/>
      <c r="K366" s="5"/>
    </row>
    <row r="367" spans="1:11" hidden="1">
      <c r="A367" s="65" cm="1">
        <f t="array" ref="A367">IFERROR(INDEX('Master Vendor Data'!A:A, MATCH(TRUE, INDEX(TRIM('Master Vendor Data'!C:C)=TRIM(C367), 0), 0)), "")</f>
        <v>44</v>
      </c>
      <c r="B367" s="14" t="s">
        <v>108</v>
      </c>
      <c r="C367" s="14" t="s">
        <v>516</v>
      </c>
      <c r="D367" s="14" t="s">
        <v>515</v>
      </c>
      <c r="E367" s="5"/>
      <c r="F367" s="5">
        <v>397</v>
      </c>
      <c r="G367" s="5"/>
      <c r="H367" s="5"/>
      <c r="I367" s="5"/>
      <c r="J367" s="5"/>
      <c r="K367" s="5"/>
    </row>
    <row r="368" spans="1:11" hidden="1">
      <c r="A368" s="65" cm="1">
        <f t="array" ref="A368">IFERROR(INDEX('Master Vendor Data'!A:A, MATCH(TRUE, INDEX(TRIM('Master Vendor Data'!C:C)=TRIM(C368), 0), 0)), "")</f>
        <v>234</v>
      </c>
      <c r="B368" s="14" t="s">
        <v>342</v>
      </c>
      <c r="C368" s="14" t="s">
        <v>343</v>
      </c>
      <c r="D368" s="14" t="s">
        <v>517</v>
      </c>
      <c r="E368" s="5"/>
      <c r="F368" s="5">
        <v>147</v>
      </c>
      <c r="G368" s="5"/>
      <c r="H368" s="5"/>
      <c r="I368" s="5"/>
      <c r="J368" s="5"/>
      <c r="K368" s="5"/>
    </row>
    <row r="369" spans="1:11" hidden="1">
      <c r="A369" s="65" cm="1">
        <f t="array" ref="A369">IFERROR(INDEX('Master Vendor Data'!A:A, MATCH(TRUE, INDEX(TRIM('Master Vendor Data'!C:C)=TRIM(C369), 0), 0)), "")</f>
        <v>38</v>
      </c>
      <c r="B369" s="14" t="s">
        <v>342</v>
      </c>
      <c r="C369" s="14" t="s">
        <v>101</v>
      </c>
      <c r="D369" s="14" t="s">
        <v>517</v>
      </c>
      <c r="E369" s="5"/>
      <c r="F369" s="5">
        <v>264</v>
      </c>
      <c r="G369" s="5"/>
      <c r="H369" s="5"/>
      <c r="I369" s="5"/>
      <c r="J369" s="5"/>
      <c r="K369" s="5"/>
    </row>
    <row r="370" spans="1:11" hidden="1">
      <c r="A370" s="65" cm="1">
        <f t="array" ref="A370">IFERROR(INDEX('Master Vendor Data'!A:A, MATCH(TRUE, INDEX(TRIM('Master Vendor Data'!C:C)=TRIM(C370), 0), 0)), "")</f>
        <v>234</v>
      </c>
      <c r="B370" s="14" t="s">
        <v>342</v>
      </c>
      <c r="C370" s="14" t="s">
        <v>343</v>
      </c>
      <c r="D370" s="14" t="s">
        <v>518</v>
      </c>
      <c r="E370" s="5"/>
      <c r="F370" s="5">
        <v>506</v>
      </c>
      <c r="G370" s="5"/>
      <c r="H370" s="5"/>
      <c r="I370" s="5"/>
      <c r="J370" s="5"/>
      <c r="K370" s="5"/>
    </row>
    <row r="371" spans="1:11" hidden="1">
      <c r="A371" s="65" cm="1">
        <f t="array" ref="A371">IFERROR(INDEX('Master Vendor Data'!A:A, MATCH(TRUE, INDEX(TRIM('Master Vendor Data'!C:C)=TRIM(C371), 0), 0)), "")</f>
        <v>235</v>
      </c>
      <c r="B371" s="14" t="s">
        <v>342</v>
      </c>
      <c r="C371" s="14" t="s">
        <v>344</v>
      </c>
      <c r="D371" s="14" t="s">
        <v>518</v>
      </c>
      <c r="E371" s="5"/>
      <c r="F371" s="5">
        <v>747</v>
      </c>
      <c r="G371" s="5"/>
      <c r="H371" s="5"/>
      <c r="I371" s="5"/>
      <c r="J371" s="5"/>
      <c r="K371" s="5"/>
    </row>
    <row r="372" spans="1:11" hidden="1">
      <c r="A372" s="65" cm="1">
        <f t="array" ref="A372">IFERROR(INDEX('Master Vendor Data'!A:A, MATCH(TRUE, INDEX(TRIM('Master Vendor Data'!C:C)=TRIM(C372), 0), 0)), "")</f>
        <v>38</v>
      </c>
      <c r="B372" s="14" t="s">
        <v>342</v>
      </c>
      <c r="C372" s="14" t="s">
        <v>101</v>
      </c>
      <c r="D372" s="14" t="s">
        <v>518</v>
      </c>
      <c r="E372" s="5"/>
      <c r="F372" s="5">
        <v>31</v>
      </c>
      <c r="G372" s="5"/>
      <c r="H372" s="5"/>
      <c r="I372" s="5"/>
      <c r="J372" s="5"/>
      <c r="K372" s="5"/>
    </row>
    <row r="373" spans="1:11" hidden="1">
      <c r="A373" s="65" cm="1">
        <f t="array" ref="A373">IFERROR(INDEX('Master Vendor Data'!A:A, MATCH(TRUE, INDEX(TRIM('Master Vendor Data'!C:C)=TRIM(C373), 0), 0)), "")</f>
        <v>9</v>
      </c>
      <c r="B373" s="14" t="s">
        <v>17</v>
      </c>
      <c r="C373" s="39" t="s">
        <v>33</v>
      </c>
      <c r="D373" s="14" t="s">
        <v>519</v>
      </c>
      <c r="E373" s="5"/>
      <c r="F373" s="5">
        <v>434</v>
      </c>
      <c r="G373" s="5"/>
      <c r="H373" s="5"/>
      <c r="I373" s="5"/>
      <c r="J373" s="5"/>
      <c r="K373" s="5"/>
    </row>
    <row r="374" spans="1:11" hidden="1">
      <c r="A374" s="65" cm="1">
        <f t="array" ref="A374">IFERROR(INDEX('Master Vendor Data'!A:A, MATCH(TRUE, INDEX(TRIM('Master Vendor Data'!C:C)=TRIM(C374), 0), 0)), "")</f>
        <v>236</v>
      </c>
      <c r="B374" s="14" t="s">
        <v>17</v>
      </c>
      <c r="C374" s="14" t="s">
        <v>345</v>
      </c>
      <c r="D374" s="14" t="s">
        <v>519</v>
      </c>
      <c r="E374" s="5"/>
      <c r="F374" s="5">
        <v>1207</v>
      </c>
      <c r="G374" s="5"/>
      <c r="H374" s="5"/>
      <c r="I374" s="5"/>
      <c r="J374" s="5"/>
      <c r="K374" s="5"/>
    </row>
    <row r="375" spans="1:11" hidden="1">
      <c r="A375" s="65" cm="1">
        <f t="array" ref="A375">IFERROR(INDEX('Master Vendor Data'!A:A, MATCH(TRUE, INDEX(TRIM('Master Vendor Data'!C:C)=TRIM(C375), 0), 0)), "")</f>
        <v>237</v>
      </c>
      <c r="B375" s="14" t="s">
        <v>17</v>
      </c>
      <c r="C375" s="14" t="s">
        <v>346</v>
      </c>
      <c r="D375" s="14" t="s">
        <v>520</v>
      </c>
      <c r="E375" s="5"/>
      <c r="F375" s="5">
        <v>479</v>
      </c>
      <c r="G375" s="5"/>
      <c r="H375" s="5"/>
      <c r="I375" s="5"/>
      <c r="J375" s="5"/>
      <c r="K375" s="5"/>
    </row>
    <row r="376" spans="1:11" hidden="1">
      <c r="A376" s="65" cm="1">
        <f t="array" ref="A376">IFERROR(INDEX('Master Vendor Data'!A:A, MATCH(TRUE, INDEX(TRIM('Master Vendor Data'!C:C)=TRIM(C376), 0), 0)), "")</f>
        <v>238</v>
      </c>
      <c r="B376" s="14" t="s">
        <v>347</v>
      </c>
      <c r="C376" s="14" t="s">
        <v>348</v>
      </c>
      <c r="D376" s="14" t="s">
        <v>347</v>
      </c>
      <c r="E376" s="5"/>
      <c r="F376" s="5">
        <v>213</v>
      </c>
      <c r="G376" s="5"/>
      <c r="H376" s="5"/>
      <c r="I376" s="5"/>
      <c r="J376" s="5"/>
      <c r="K376" s="5"/>
    </row>
    <row r="377" spans="1:11" hidden="1">
      <c r="A377" s="65" cm="1">
        <f t="array" ref="A377">IFERROR(INDEX('Master Vendor Data'!A:A, MATCH(TRUE, INDEX(TRIM('Master Vendor Data'!C:C)=TRIM(C377), 0), 0)), "")</f>
        <v>239</v>
      </c>
      <c r="B377" s="14" t="s">
        <v>17</v>
      </c>
      <c r="C377" s="14" t="s">
        <v>349</v>
      </c>
      <c r="D377" s="14" t="s">
        <v>521</v>
      </c>
      <c r="E377" s="5"/>
      <c r="F377" s="5">
        <v>1981</v>
      </c>
      <c r="G377" s="5"/>
      <c r="H377" s="5"/>
      <c r="I377" s="5"/>
      <c r="J377" s="5"/>
      <c r="K377" s="5"/>
    </row>
    <row r="378" spans="1:11" hidden="1">
      <c r="A378" s="65" cm="1">
        <f t="array" ref="A378">IFERROR(INDEX('Master Vendor Data'!A:A, MATCH(TRUE, INDEX(TRIM('Master Vendor Data'!C:C)=TRIM(C378), 0), 0)), "")</f>
        <v>240</v>
      </c>
      <c r="B378" s="14" t="s">
        <v>128</v>
      </c>
      <c r="C378" s="14" t="s">
        <v>350</v>
      </c>
      <c r="D378" s="14" t="s">
        <v>522</v>
      </c>
      <c r="E378" s="5"/>
      <c r="F378" s="5">
        <v>16</v>
      </c>
      <c r="G378" s="5"/>
      <c r="H378" s="5"/>
      <c r="I378" s="5"/>
      <c r="J378" s="5"/>
      <c r="K378" s="5"/>
    </row>
    <row r="379" spans="1:11" hidden="1">
      <c r="A379" s="65" cm="1">
        <f t="array" ref="A379">IFERROR(INDEX('Master Vendor Data'!A:A, MATCH(TRUE, INDEX(TRIM('Master Vendor Data'!C:C)=TRIM(C379), 0), 0)), "")</f>
        <v>241</v>
      </c>
      <c r="B379" s="14" t="s">
        <v>128</v>
      </c>
      <c r="C379" s="14" t="s">
        <v>351</v>
      </c>
      <c r="D379" s="14" t="s">
        <v>522</v>
      </c>
      <c r="E379" s="5"/>
      <c r="F379" s="5">
        <v>92</v>
      </c>
      <c r="G379" s="5"/>
      <c r="H379" s="5"/>
      <c r="I379" s="5"/>
      <c r="J379" s="5"/>
      <c r="K379" s="5"/>
    </row>
    <row r="380" spans="1:11" hidden="1">
      <c r="A380" s="65" cm="1">
        <f t="array" ref="A380">IFERROR(INDEX('Master Vendor Data'!A:A, MATCH(TRUE, INDEX(TRIM('Master Vendor Data'!C:C)=TRIM(C380), 0), 0)), "")</f>
        <v>240</v>
      </c>
      <c r="B380" s="14" t="s">
        <v>128</v>
      </c>
      <c r="C380" s="14" t="s">
        <v>350</v>
      </c>
      <c r="D380" s="14" t="s">
        <v>523</v>
      </c>
      <c r="E380" s="5"/>
      <c r="F380" s="5">
        <v>105</v>
      </c>
      <c r="G380" s="5"/>
      <c r="H380" s="5"/>
      <c r="I380" s="5"/>
      <c r="J380" s="5"/>
      <c r="K380" s="5"/>
    </row>
    <row r="381" spans="1:11" hidden="1">
      <c r="A381" s="65" cm="1">
        <f t="array" ref="A381">IFERROR(INDEX('Master Vendor Data'!A:A, MATCH(TRUE, INDEX(TRIM('Master Vendor Data'!C:C)=TRIM(C381), 0), 0)), "")</f>
        <v>242</v>
      </c>
      <c r="B381" s="14" t="s">
        <v>128</v>
      </c>
      <c r="C381" s="14" t="s">
        <v>352</v>
      </c>
      <c r="D381" s="14" t="s">
        <v>523</v>
      </c>
      <c r="E381" s="5"/>
      <c r="F381" s="5">
        <v>16</v>
      </c>
      <c r="G381" s="5"/>
      <c r="H381" s="5"/>
      <c r="I381" s="5"/>
      <c r="J381" s="5"/>
      <c r="K381" s="5"/>
    </row>
    <row r="382" spans="1:11" hidden="1">
      <c r="A382" s="65" cm="1">
        <f t="array" ref="A382">IFERROR(INDEX('Master Vendor Data'!A:A, MATCH(TRUE, INDEX(TRIM('Master Vendor Data'!C:C)=TRIM(C382), 0), 0)), "")</f>
        <v>243</v>
      </c>
      <c r="B382" s="14" t="s">
        <v>128</v>
      </c>
      <c r="C382" s="14" t="s">
        <v>353</v>
      </c>
      <c r="D382" s="14" t="s">
        <v>523</v>
      </c>
      <c r="E382" s="5"/>
      <c r="F382" s="5">
        <v>434</v>
      </c>
      <c r="G382" s="5"/>
      <c r="H382" s="5"/>
      <c r="I382" s="5"/>
      <c r="J382" s="5"/>
      <c r="K382" s="5"/>
    </row>
    <row r="383" spans="1:11" hidden="1">
      <c r="A383" s="65" cm="1">
        <f t="array" ref="A383">IFERROR(INDEX('Master Vendor Data'!A:A, MATCH(TRUE, INDEX(TRIM('Master Vendor Data'!C:C)=TRIM(C383), 0), 0)), "")</f>
        <v>54</v>
      </c>
      <c r="B383" s="14" t="s">
        <v>128</v>
      </c>
      <c r="C383" s="14" t="s">
        <v>510</v>
      </c>
      <c r="D383" s="14" t="s">
        <v>523</v>
      </c>
      <c r="E383" s="5"/>
      <c r="F383" s="5">
        <v>67</v>
      </c>
      <c r="G383" s="5"/>
      <c r="H383" s="5"/>
      <c r="I383" s="5"/>
      <c r="J383" s="5"/>
      <c r="K383" s="5"/>
    </row>
    <row r="384" spans="1:11" hidden="1">
      <c r="A384" s="65" cm="1">
        <f t="array" ref="A384">IFERROR(INDEX('Master Vendor Data'!A:A, MATCH(TRUE, INDEX(TRIM('Master Vendor Data'!C:C)=TRIM(C384), 0), 0)), "")</f>
        <v>244</v>
      </c>
      <c r="B384" s="14" t="s">
        <v>128</v>
      </c>
      <c r="C384" s="14" t="s">
        <v>354</v>
      </c>
      <c r="D384" s="14" t="s">
        <v>523</v>
      </c>
      <c r="E384" s="5"/>
      <c r="F384" s="5">
        <v>33</v>
      </c>
      <c r="G384" s="5"/>
      <c r="H384" s="5"/>
      <c r="I384" s="5"/>
      <c r="J384" s="5"/>
      <c r="K384" s="5"/>
    </row>
    <row r="385" spans="1:11" hidden="1">
      <c r="A385" s="65" cm="1">
        <f t="array" ref="A385">IFERROR(INDEX('Master Vendor Data'!A:A, MATCH(TRUE, INDEX(TRIM('Master Vendor Data'!C:C)=TRIM(C385), 0), 0)), "")</f>
        <v>25</v>
      </c>
      <c r="B385" s="14" t="s">
        <v>128</v>
      </c>
      <c r="C385" s="14" t="s">
        <v>70</v>
      </c>
      <c r="D385" s="14" t="s">
        <v>524</v>
      </c>
      <c r="E385" s="5"/>
      <c r="F385" s="5">
        <v>41</v>
      </c>
      <c r="G385" s="5"/>
      <c r="H385" s="5"/>
      <c r="I385" s="5"/>
      <c r="J385" s="5"/>
      <c r="K385" s="5"/>
    </row>
    <row r="386" spans="1:11" hidden="1">
      <c r="A386" s="65" cm="1">
        <f t="array" ref="A386">IFERROR(INDEX('Master Vendor Data'!A:A, MATCH(TRUE, INDEX(TRIM('Master Vendor Data'!C:C)=TRIM(C386), 0), 0)), "")</f>
        <v>228</v>
      </c>
      <c r="B386" s="14" t="s">
        <v>92</v>
      </c>
      <c r="C386" s="14" t="s">
        <v>336</v>
      </c>
      <c r="D386" s="14" t="s">
        <v>525</v>
      </c>
      <c r="E386" s="5"/>
      <c r="F386" s="5">
        <v>508</v>
      </c>
      <c r="G386" s="5"/>
      <c r="H386" s="5"/>
      <c r="I386" s="5"/>
      <c r="J386" s="5"/>
      <c r="K386" s="5"/>
    </row>
    <row r="387" spans="1:11" hidden="1">
      <c r="A387" s="65" cm="1">
        <f t="array" ref="A387">IFERROR(INDEX('Master Vendor Data'!A:A, MATCH(TRUE, INDEX(TRIM('Master Vendor Data'!C:C)=TRIM(C387), 0), 0)), "")</f>
        <v>229</v>
      </c>
      <c r="B387" s="14" t="s">
        <v>92</v>
      </c>
      <c r="C387" s="14" t="s">
        <v>337</v>
      </c>
      <c r="D387" s="14" t="s">
        <v>525</v>
      </c>
      <c r="E387" s="5"/>
      <c r="F387" s="5">
        <v>120</v>
      </c>
      <c r="G387" s="5"/>
      <c r="H387" s="5"/>
      <c r="I387" s="5"/>
      <c r="J387" s="5"/>
      <c r="K387" s="5"/>
    </row>
    <row r="388" spans="1:11" hidden="1">
      <c r="A388" s="65" cm="1">
        <f t="array" ref="A388">IFERROR(INDEX('Master Vendor Data'!A:A, MATCH(TRUE, INDEX(TRIM('Master Vendor Data'!C:C)=TRIM(C388), 0), 0)), "")</f>
        <v>228</v>
      </c>
      <c r="B388" s="14" t="s">
        <v>92</v>
      </c>
      <c r="C388" s="14" t="s">
        <v>336</v>
      </c>
      <c r="D388" s="14" t="s">
        <v>526</v>
      </c>
      <c r="E388" s="5"/>
      <c r="F388" s="5">
        <v>177</v>
      </c>
      <c r="G388" s="5"/>
      <c r="H388" s="5"/>
      <c r="I388" s="5"/>
      <c r="J388" s="5"/>
      <c r="K388" s="5"/>
    </row>
    <row r="389" spans="1:11" hidden="1">
      <c r="A389" s="65" cm="1">
        <f t="array" ref="A389">IFERROR(INDEX('Master Vendor Data'!A:A, MATCH(TRUE, INDEX(TRIM('Master Vendor Data'!C:C)=TRIM(C389), 0), 0)), "")</f>
        <v>229</v>
      </c>
      <c r="B389" s="14" t="s">
        <v>92</v>
      </c>
      <c r="C389" s="14" t="s">
        <v>337</v>
      </c>
      <c r="D389" s="14" t="s">
        <v>526</v>
      </c>
      <c r="E389" s="5"/>
      <c r="F389" s="5">
        <v>102</v>
      </c>
      <c r="G389" s="5"/>
      <c r="H389" s="5"/>
      <c r="I389" s="5"/>
      <c r="J389" s="5"/>
      <c r="K389" s="5"/>
    </row>
    <row r="390" spans="1:11" hidden="1">
      <c r="A390" s="65" cm="1">
        <f t="array" ref="A390">IFERROR(INDEX('Master Vendor Data'!A:A, MATCH(TRUE, INDEX(TRIM('Master Vendor Data'!C:C)=TRIM(C390), 0), 0)), "")</f>
        <v>245</v>
      </c>
      <c r="B390" s="14" t="s">
        <v>108</v>
      </c>
      <c r="C390" s="14" t="s">
        <v>355</v>
      </c>
      <c r="D390" s="14" t="s">
        <v>527</v>
      </c>
      <c r="E390" s="5"/>
      <c r="F390" s="5">
        <v>389</v>
      </c>
      <c r="G390" s="5"/>
      <c r="H390" s="5"/>
      <c r="I390" s="5"/>
      <c r="J390" s="5"/>
      <c r="K390" s="5"/>
    </row>
    <row r="391" spans="1:11" hidden="1">
      <c r="A391" s="65" cm="1">
        <f t="array" ref="A391">IFERROR(INDEX('Master Vendor Data'!A:A, MATCH(TRUE, INDEX(TRIM('Master Vendor Data'!C:C)=TRIM(C391), 0), 0)), "")</f>
        <v>246</v>
      </c>
      <c r="B391" s="14" t="s">
        <v>108</v>
      </c>
      <c r="C391" s="14" t="s">
        <v>356</v>
      </c>
      <c r="D391" s="14" t="s">
        <v>527</v>
      </c>
      <c r="E391" s="5"/>
      <c r="F391" s="5">
        <v>927</v>
      </c>
      <c r="G391" s="5"/>
      <c r="H391" s="5"/>
      <c r="I391" s="5"/>
      <c r="J391" s="5"/>
      <c r="K391" s="5"/>
    </row>
    <row r="392" spans="1:11" hidden="1">
      <c r="A392" s="65" cm="1">
        <f t="array" ref="A392">IFERROR(INDEX('Master Vendor Data'!A:A, MATCH(TRUE, INDEX(TRIM('Master Vendor Data'!C:C)=TRIM(C392), 0), 0)), "")</f>
        <v>247</v>
      </c>
      <c r="B392" s="14" t="s">
        <v>108</v>
      </c>
      <c r="C392" s="14" t="s">
        <v>357</v>
      </c>
      <c r="D392" s="14" t="s">
        <v>527</v>
      </c>
      <c r="E392" s="5"/>
      <c r="F392" s="5">
        <v>276</v>
      </c>
      <c r="G392" s="5"/>
      <c r="H392" s="5"/>
      <c r="I392" s="5"/>
      <c r="J392" s="5"/>
      <c r="K392" s="5"/>
    </row>
    <row r="393" spans="1:11" hidden="1">
      <c r="A393" s="65" cm="1">
        <f t="array" ref="A393">IFERROR(INDEX('Master Vendor Data'!A:A, MATCH(TRUE, INDEX(TRIM('Master Vendor Data'!C:C)=TRIM(C393), 0), 0)), "")</f>
        <v>248</v>
      </c>
      <c r="B393" s="14" t="s">
        <v>108</v>
      </c>
      <c r="C393" s="14" t="s">
        <v>358</v>
      </c>
      <c r="D393" s="14" t="s">
        <v>528</v>
      </c>
      <c r="E393" s="5"/>
      <c r="F393" s="5">
        <v>1282</v>
      </c>
      <c r="G393" s="5"/>
      <c r="H393" s="5"/>
      <c r="I393" s="5"/>
      <c r="J393" s="5"/>
      <c r="K393" s="5"/>
    </row>
    <row r="394" spans="1:11" hidden="1">
      <c r="A394" s="65" cm="1">
        <f t="array" ref="A394">IFERROR(INDEX('Master Vendor Data'!A:A, MATCH(TRUE, INDEX(TRIM('Master Vendor Data'!C:C)=TRIM(C394), 0), 0)), "")</f>
        <v>59</v>
      </c>
      <c r="B394" s="14" t="s">
        <v>108</v>
      </c>
      <c r="C394" s="14" t="s">
        <v>143</v>
      </c>
      <c r="D394" s="14" t="s">
        <v>528</v>
      </c>
      <c r="E394" s="5"/>
      <c r="F394" s="5">
        <v>1261</v>
      </c>
      <c r="G394" s="5"/>
      <c r="H394" s="5"/>
      <c r="I394" s="5"/>
      <c r="J394" s="5"/>
      <c r="K394" s="5"/>
    </row>
    <row r="395" spans="1:11" hidden="1">
      <c r="A395" s="65" cm="1">
        <f t="array" ref="A395">IFERROR(INDEX('Master Vendor Data'!A:A, MATCH(TRUE, INDEX(TRIM('Master Vendor Data'!C:C)=TRIM(C395), 0), 0)), "")</f>
        <v>174</v>
      </c>
      <c r="B395" s="14" t="s">
        <v>108</v>
      </c>
      <c r="C395" s="14" t="s">
        <v>282</v>
      </c>
      <c r="D395" s="14" t="s">
        <v>528</v>
      </c>
      <c r="E395" s="5"/>
      <c r="F395" s="5">
        <v>564</v>
      </c>
      <c r="G395" s="5"/>
      <c r="H395" s="5"/>
      <c r="I395" s="5"/>
      <c r="J395" s="5"/>
      <c r="K395" s="5"/>
    </row>
    <row r="396" spans="1:11" hidden="1">
      <c r="A396" s="65" cm="1">
        <f t="array" ref="A396">IFERROR(INDEX('Master Vendor Data'!A:A, MATCH(TRUE, INDEX(TRIM('Master Vendor Data'!C:C)=TRIM(C396), 0), 0)), "")</f>
        <v>249</v>
      </c>
      <c r="B396" s="14" t="s">
        <v>108</v>
      </c>
      <c r="C396" s="14" t="s">
        <v>359</v>
      </c>
      <c r="D396" s="14" t="s">
        <v>528</v>
      </c>
      <c r="E396" s="5"/>
      <c r="F396" s="5">
        <v>392</v>
      </c>
      <c r="G396" s="5"/>
      <c r="H396" s="5"/>
      <c r="I396" s="5"/>
      <c r="J396" s="5"/>
      <c r="K396" s="5"/>
    </row>
    <row r="397" spans="1:11" hidden="1">
      <c r="A397" s="65" cm="1">
        <f t="array" ref="A397">IFERROR(INDEX('Master Vendor Data'!A:A, MATCH(TRUE, INDEX(TRIM('Master Vendor Data'!C:C)=TRIM(C397), 0), 0)), "")</f>
        <v>126</v>
      </c>
      <c r="B397" s="14" t="s">
        <v>108</v>
      </c>
      <c r="C397" s="14" t="s">
        <v>234</v>
      </c>
      <c r="D397" s="14" t="s">
        <v>528</v>
      </c>
      <c r="E397" s="5"/>
      <c r="F397" s="5">
        <v>1561</v>
      </c>
      <c r="G397" s="5"/>
      <c r="H397" s="5"/>
      <c r="I397" s="5"/>
      <c r="J397" s="5"/>
      <c r="K397" s="5"/>
    </row>
    <row r="398" spans="1:11" hidden="1">
      <c r="A398" s="65" cm="1">
        <f t="array" ref="A398">IFERROR(INDEX('Master Vendor Data'!A:A, MATCH(TRUE, INDEX(TRIM('Master Vendor Data'!C:C)=TRIM(C398), 0), 0)), "")</f>
        <v>250</v>
      </c>
      <c r="B398" s="14" t="s">
        <v>108</v>
      </c>
      <c r="C398" s="14" t="s">
        <v>360</v>
      </c>
      <c r="D398" s="14" t="s">
        <v>528</v>
      </c>
      <c r="E398" s="5"/>
      <c r="F398" s="5">
        <v>36</v>
      </c>
      <c r="G398" s="5"/>
      <c r="H398" s="5"/>
      <c r="I398" s="5"/>
      <c r="J398" s="5"/>
      <c r="K398" s="5"/>
    </row>
    <row r="399" spans="1:11" hidden="1">
      <c r="A399" s="65" cm="1">
        <f t="array" ref="A399">IFERROR(INDEX('Master Vendor Data'!A:A, MATCH(TRUE, INDEX(TRIM('Master Vendor Data'!C:C)=TRIM(C399), 0), 0)), "")</f>
        <v>251</v>
      </c>
      <c r="B399" s="14" t="s">
        <v>53</v>
      </c>
      <c r="C399" s="14" t="s">
        <v>361</v>
      </c>
      <c r="D399" s="14" t="s">
        <v>529</v>
      </c>
      <c r="E399" s="5"/>
      <c r="F399" s="5">
        <v>2172</v>
      </c>
      <c r="G399" s="5"/>
      <c r="H399" s="5"/>
      <c r="I399" s="5"/>
      <c r="J399" s="5"/>
      <c r="K399" s="5"/>
    </row>
    <row r="400" spans="1:11" hidden="1">
      <c r="A400" s="65" cm="1">
        <f t="array" ref="A400">IFERROR(INDEX('Master Vendor Data'!A:A, MATCH(TRUE, INDEX(TRIM('Master Vendor Data'!C:C)=TRIM(C400), 0), 0)), "")</f>
        <v>252</v>
      </c>
      <c r="B400" s="14" t="s">
        <v>53</v>
      </c>
      <c r="C400" s="14" t="s">
        <v>362</v>
      </c>
      <c r="D400" s="14" t="s">
        <v>530</v>
      </c>
      <c r="E400" s="5"/>
      <c r="F400" s="5">
        <v>6044</v>
      </c>
      <c r="G400" s="5"/>
      <c r="H400" s="5"/>
      <c r="I400" s="5"/>
      <c r="J400" s="5"/>
      <c r="K400" s="5"/>
    </row>
    <row r="401" spans="1:11" hidden="1">
      <c r="A401" s="65" cm="1">
        <f t="array" ref="A401">IFERROR(INDEX('Master Vendor Data'!A:A, MATCH(TRUE, INDEX(TRIM('Master Vendor Data'!C:C)=TRIM(C401), 0), 0)), "")</f>
        <v>111</v>
      </c>
      <c r="B401" s="14" t="s">
        <v>74</v>
      </c>
      <c r="C401" s="39" t="s">
        <v>218</v>
      </c>
      <c r="D401" s="14" t="s">
        <v>531</v>
      </c>
      <c r="E401" s="5"/>
      <c r="F401" s="5">
        <v>327</v>
      </c>
      <c r="G401" s="5"/>
      <c r="H401" s="5"/>
      <c r="I401" s="5"/>
      <c r="J401" s="5"/>
      <c r="K401" s="5"/>
    </row>
    <row r="402" spans="1:11" hidden="1">
      <c r="A402" s="65" cm="1">
        <f t="array" ref="A402">IFERROR(INDEX('Master Vendor Data'!A:A, MATCH(TRUE, INDEX(TRIM('Master Vendor Data'!C:C)=TRIM(C402), 0), 0)), "")</f>
        <v>111</v>
      </c>
      <c r="B402" s="14" t="s">
        <v>74</v>
      </c>
      <c r="C402" s="39" t="s">
        <v>218</v>
      </c>
      <c r="D402" s="14" t="s">
        <v>532</v>
      </c>
      <c r="E402" s="5"/>
      <c r="F402" s="5">
        <v>256</v>
      </c>
      <c r="G402" s="5"/>
      <c r="H402" s="5"/>
      <c r="I402" s="5"/>
      <c r="J402" s="5"/>
      <c r="K402" s="5"/>
    </row>
    <row r="403" spans="1:11" hidden="1">
      <c r="A403" s="65" cm="1">
        <f t="array" ref="A403">IFERROR(INDEX('Master Vendor Data'!A:A, MATCH(TRUE, INDEX(TRIM('Master Vendor Data'!C:C)=TRIM(C403), 0), 0)), "")</f>
        <v>243</v>
      </c>
      <c r="B403" s="14" t="s">
        <v>128</v>
      </c>
      <c r="C403" s="14" t="s">
        <v>353</v>
      </c>
      <c r="D403" s="14" t="s">
        <v>533</v>
      </c>
      <c r="E403" s="5"/>
      <c r="F403" s="5">
        <v>49</v>
      </c>
      <c r="G403" s="5"/>
      <c r="H403" s="5"/>
      <c r="I403" s="5"/>
      <c r="J403" s="5"/>
      <c r="K403" s="5"/>
    </row>
    <row r="404" spans="1:11" hidden="1">
      <c r="A404" s="65" cm="1">
        <f t="array" ref="A404">IFERROR(INDEX('Master Vendor Data'!A:A, MATCH(TRUE, INDEX(TRIM('Master Vendor Data'!C:C)=TRIM(C404), 0), 0)), "")</f>
        <v>241</v>
      </c>
      <c r="B404" s="14" t="s">
        <v>128</v>
      </c>
      <c r="C404" s="14" t="s">
        <v>351</v>
      </c>
      <c r="D404" s="14" t="s">
        <v>533</v>
      </c>
      <c r="E404" s="5"/>
      <c r="F404" s="5">
        <v>247</v>
      </c>
      <c r="G404" s="5"/>
      <c r="H404" s="5"/>
      <c r="I404" s="5"/>
      <c r="J404" s="5"/>
      <c r="K404" s="5"/>
    </row>
    <row r="405" spans="1:11" hidden="1">
      <c r="A405" s="65" cm="1">
        <f t="array" ref="A405">IFERROR(INDEX('Master Vendor Data'!A:A, MATCH(TRUE, INDEX(TRIM('Master Vendor Data'!C:C)=TRIM(C405), 0), 0)), "")</f>
        <v>54</v>
      </c>
      <c r="B405" s="14" t="s">
        <v>128</v>
      </c>
      <c r="C405" s="14" t="s">
        <v>510</v>
      </c>
      <c r="D405" s="14" t="s">
        <v>534</v>
      </c>
      <c r="E405" s="5"/>
      <c r="F405" s="5">
        <v>27</v>
      </c>
      <c r="G405" s="5"/>
      <c r="H405" s="5"/>
      <c r="I405" s="5"/>
      <c r="J405" s="5"/>
      <c r="K405" s="5"/>
    </row>
    <row r="406" spans="1:11" hidden="1">
      <c r="A406" s="65" cm="1">
        <f t="array" ref="A406">IFERROR(INDEX('Master Vendor Data'!A:A, MATCH(TRUE, INDEX(TRIM('Master Vendor Data'!C:C)=TRIM(C406), 0), 0)), "")</f>
        <v>224</v>
      </c>
      <c r="B406" s="14" t="s">
        <v>128</v>
      </c>
      <c r="C406" s="14" t="s">
        <v>363</v>
      </c>
      <c r="D406" s="14" t="s">
        <v>534</v>
      </c>
      <c r="E406" s="5"/>
      <c r="F406" s="5">
        <v>318</v>
      </c>
      <c r="G406" s="5"/>
      <c r="H406" s="5"/>
      <c r="I406" s="5"/>
      <c r="J406" s="5"/>
      <c r="K406" s="5"/>
    </row>
    <row r="407" spans="1:11" hidden="1">
      <c r="A407" s="65" cm="1">
        <f t="array" ref="A407">IFERROR(INDEX('Master Vendor Data'!A:A, MATCH(TRUE, INDEX(TRIM('Master Vendor Data'!C:C)=TRIM(C407), 0), 0)), "")</f>
        <v>240</v>
      </c>
      <c r="B407" s="14" t="s">
        <v>128</v>
      </c>
      <c r="C407" s="14" t="s">
        <v>350</v>
      </c>
      <c r="D407" s="14" t="s">
        <v>535</v>
      </c>
      <c r="E407" s="5"/>
      <c r="F407" s="5">
        <v>66</v>
      </c>
      <c r="G407" s="5"/>
      <c r="H407" s="5"/>
      <c r="I407" s="5"/>
      <c r="J407" s="5"/>
      <c r="K407" s="5"/>
    </row>
    <row r="408" spans="1:11" hidden="1">
      <c r="A408" s="65" cm="1">
        <f t="array" ref="A408">IFERROR(INDEX('Master Vendor Data'!A:A, MATCH(TRUE, INDEX(TRIM('Master Vendor Data'!C:C)=TRIM(C408), 0), 0)), "")</f>
        <v>54</v>
      </c>
      <c r="B408" s="14" t="s">
        <v>128</v>
      </c>
      <c r="C408" s="14" t="s">
        <v>510</v>
      </c>
      <c r="D408" s="14" t="s">
        <v>535</v>
      </c>
      <c r="E408" s="5"/>
      <c r="F408" s="5">
        <v>28</v>
      </c>
      <c r="G408" s="5"/>
      <c r="H408" s="5"/>
      <c r="I408" s="5"/>
      <c r="J408" s="5"/>
      <c r="K408" s="5"/>
    </row>
    <row r="409" spans="1:11" hidden="1">
      <c r="A409" s="65" cm="1">
        <f t="array" ref="A409">IFERROR(INDEX('Master Vendor Data'!A:A, MATCH(TRUE, INDEX(TRIM('Master Vendor Data'!C:C)=TRIM(C409), 0), 0)), "")</f>
        <v>241</v>
      </c>
      <c r="B409" s="14" t="s">
        <v>128</v>
      </c>
      <c r="C409" s="14" t="s">
        <v>351</v>
      </c>
      <c r="D409" s="14" t="s">
        <v>535</v>
      </c>
      <c r="E409" s="5"/>
      <c r="F409" s="5">
        <v>54</v>
      </c>
      <c r="G409" s="5"/>
      <c r="H409" s="5"/>
      <c r="I409" s="5"/>
      <c r="J409" s="5"/>
      <c r="K409" s="5"/>
    </row>
    <row r="410" spans="1:11" hidden="1">
      <c r="A410" s="65" cm="1">
        <f t="array" ref="A410">IFERROR(INDEX('Master Vendor Data'!A:A, MATCH(TRUE, INDEX(TRIM('Master Vendor Data'!C:C)=TRIM(C410), 0), 0)), "")</f>
        <v>247</v>
      </c>
      <c r="B410" s="14" t="s">
        <v>185</v>
      </c>
      <c r="C410" s="14" t="s">
        <v>357</v>
      </c>
      <c r="D410" s="14" t="s">
        <v>536</v>
      </c>
      <c r="E410" s="5"/>
      <c r="F410" s="5">
        <v>12</v>
      </c>
      <c r="G410" s="5"/>
      <c r="H410" s="5"/>
      <c r="I410" s="5"/>
      <c r="J410" s="5"/>
      <c r="K410" s="5"/>
    </row>
    <row r="411" spans="1:11" hidden="1">
      <c r="A411" s="65" cm="1">
        <f t="array" ref="A411">IFERROR(INDEX('Master Vendor Data'!A:A, MATCH(TRUE, INDEX(TRIM('Master Vendor Data'!C:C)=TRIM(C411), 0), 0)), "")</f>
        <v>250</v>
      </c>
      <c r="B411" s="14" t="s">
        <v>185</v>
      </c>
      <c r="C411" s="14" t="s">
        <v>360</v>
      </c>
      <c r="D411" s="14" t="s">
        <v>536</v>
      </c>
      <c r="E411" s="5"/>
      <c r="F411" s="5">
        <v>171</v>
      </c>
      <c r="G411" s="5"/>
      <c r="H411" s="5"/>
      <c r="I411" s="5"/>
      <c r="J411" s="5"/>
      <c r="K411" s="5"/>
    </row>
    <row r="412" spans="1:11" hidden="1">
      <c r="A412" s="65" cm="1">
        <f t="array" ref="A412">IFERROR(INDEX('Master Vendor Data'!A:A, MATCH(TRUE, INDEX(TRIM('Master Vendor Data'!C:C)=TRIM(C412), 0), 0)), "")</f>
        <v>246</v>
      </c>
      <c r="B412" s="14" t="s">
        <v>185</v>
      </c>
      <c r="C412" s="14" t="s">
        <v>356</v>
      </c>
      <c r="D412" s="14" t="s">
        <v>537</v>
      </c>
      <c r="E412" s="5"/>
      <c r="F412" s="5">
        <v>1485</v>
      </c>
      <c r="G412" s="5"/>
      <c r="H412" s="5"/>
      <c r="I412" s="5"/>
      <c r="J412" s="5"/>
      <c r="K412" s="5"/>
    </row>
    <row r="413" spans="1:11" hidden="1">
      <c r="A413" s="65" cm="1">
        <f t="array" ref="A413">IFERROR(INDEX('Master Vendor Data'!A:A, MATCH(TRUE, INDEX(TRIM('Master Vendor Data'!C:C)=TRIM(C413), 0), 0)), "")</f>
        <v>250</v>
      </c>
      <c r="B413" s="14" t="s">
        <v>185</v>
      </c>
      <c r="C413" s="14" t="s">
        <v>360</v>
      </c>
      <c r="D413" s="14" t="s">
        <v>537</v>
      </c>
      <c r="E413" s="5"/>
      <c r="F413" s="5">
        <v>657</v>
      </c>
      <c r="G413" s="5"/>
      <c r="H413" s="5"/>
      <c r="I413" s="5"/>
      <c r="J413" s="5"/>
      <c r="K413" s="5"/>
    </row>
    <row r="414" spans="1:11" hidden="1">
      <c r="A414" s="65" cm="1">
        <f t="array" ref="A414">IFERROR(INDEX('Master Vendor Data'!A:A, MATCH(TRUE, INDEX(TRIM('Master Vendor Data'!C:C)=TRIM(C414), 0), 0)), "")</f>
        <v>247</v>
      </c>
      <c r="B414" s="14" t="s">
        <v>185</v>
      </c>
      <c r="C414" s="14" t="s">
        <v>357</v>
      </c>
      <c r="D414" s="14" t="s">
        <v>537</v>
      </c>
      <c r="E414" s="5"/>
      <c r="F414" s="5">
        <v>921</v>
      </c>
      <c r="G414" s="5"/>
      <c r="H414" s="5"/>
      <c r="I414" s="5"/>
      <c r="J414" s="5"/>
      <c r="K414" s="5"/>
    </row>
    <row r="415" spans="1:11" hidden="1">
      <c r="A415" s="65" cm="1">
        <f t="array" ref="A415">IFERROR(INDEX('Master Vendor Data'!A:A, MATCH(TRUE, INDEX(TRIM('Master Vendor Data'!C:C)=TRIM(C415), 0), 0)), "")</f>
        <v>250</v>
      </c>
      <c r="B415" s="14" t="s">
        <v>185</v>
      </c>
      <c r="C415" s="14" t="s">
        <v>360</v>
      </c>
      <c r="D415" s="14" t="s">
        <v>537</v>
      </c>
      <c r="E415" s="5"/>
      <c r="F415" s="5">
        <v>243</v>
      </c>
      <c r="G415" s="5"/>
      <c r="H415" s="5"/>
      <c r="I415" s="5"/>
      <c r="J415" s="5"/>
      <c r="K415" s="5"/>
    </row>
    <row r="416" spans="1:11" hidden="1">
      <c r="A416" s="65" cm="1">
        <f t="array" ref="A416">IFERROR(INDEX('Master Vendor Data'!A:A, MATCH(TRUE, INDEX(TRIM('Master Vendor Data'!C:C)=TRIM(C416), 0), 0)), "")</f>
        <v>46</v>
      </c>
      <c r="B416" s="14" t="s">
        <v>108</v>
      </c>
      <c r="C416" s="14" t="s">
        <v>538</v>
      </c>
      <c r="D416" s="14" t="s">
        <v>539</v>
      </c>
      <c r="E416" s="5"/>
      <c r="F416" s="5">
        <v>808</v>
      </c>
      <c r="G416" s="5"/>
      <c r="H416" s="5"/>
      <c r="I416" s="5"/>
      <c r="J416" s="5"/>
      <c r="K416" s="5"/>
    </row>
    <row r="417" spans="1:11" hidden="1">
      <c r="A417" s="65" cm="1">
        <f t="array" ref="A417">IFERROR(INDEX('Master Vendor Data'!A:A, MATCH(TRUE, INDEX(TRIM('Master Vendor Data'!C:C)=TRIM(C417), 0), 0)), "")</f>
        <v>254</v>
      </c>
      <c r="B417" s="14" t="s">
        <v>185</v>
      </c>
      <c r="C417" s="14" t="s">
        <v>364</v>
      </c>
      <c r="D417" s="14" t="s">
        <v>540</v>
      </c>
      <c r="E417" s="5"/>
      <c r="F417" s="5">
        <v>501</v>
      </c>
      <c r="G417" s="5"/>
      <c r="H417" s="5"/>
      <c r="I417" s="5"/>
      <c r="J417" s="5"/>
      <c r="K417" s="5"/>
    </row>
    <row r="418" spans="1:11" hidden="1">
      <c r="A418" s="65" cm="1">
        <f t="array" ref="A418">IFERROR(INDEX('Master Vendor Data'!A:A, MATCH(TRUE, INDEX(TRIM('Master Vendor Data'!C:C)=TRIM(C418), 0), 0)), "")</f>
        <v>246</v>
      </c>
      <c r="B418" s="14" t="s">
        <v>185</v>
      </c>
      <c r="C418" s="14" t="s">
        <v>356</v>
      </c>
      <c r="D418" s="14" t="s">
        <v>540</v>
      </c>
      <c r="E418" s="5"/>
      <c r="F418" s="5">
        <v>1080</v>
      </c>
      <c r="G418" s="5"/>
      <c r="H418" s="5"/>
      <c r="I418" s="5"/>
      <c r="J418" s="5"/>
      <c r="K418" s="5"/>
    </row>
    <row r="419" spans="1:11" hidden="1">
      <c r="A419" s="65" cm="1">
        <f t="array" ref="A419">IFERROR(INDEX('Master Vendor Data'!A:A, MATCH(TRUE, INDEX(TRIM('Master Vendor Data'!C:C)=TRIM(C419), 0), 0)), "")</f>
        <v>59</v>
      </c>
      <c r="B419" s="14" t="s">
        <v>185</v>
      </c>
      <c r="C419" s="14" t="s">
        <v>143</v>
      </c>
      <c r="D419" s="14" t="s">
        <v>540</v>
      </c>
      <c r="E419" s="5"/>
      <c r="F419" s="5">
        <v>199</v>
      </c>
      <c r="G419" s="5"/>
      <c r="H419" s="5"/>
      <c r="I419" s="5"/>
      <c r="J419" s="5"/>
      <c r="K419" s="5"/>
    </row>
    <row r="420" spans="1:11" hidden="1">
      <c r="A420" s="65" cm="1">
        <f t="array" ref="A420">IFERROR(INDEX('Master Vendor Data'!A:A, MATCH(TRUE, INDEX(TRIM('Master Vendor Data'!C:C)=TRIM(C420), 0), 0)), "")</f>
        <v>255</v>
      </c>
      <c r="B420" s="14" t="s">
        <v>17</v>
      </c>
      <c r="C420" s="14" t="s">
        <v>365</v>
      </c>
      <c r="D420" s="14" t="s">
        <v>541</v>
      </c>
      <c r="E420" s="5"/>
      <c r="F420" s="5">
        <v>392</v>
      </c>
      <c r="G420" s="5"/>
      <c r="H420" s="5"/>
      <c r="I420" s="5"/>
      <c r="J420" s="5"/>
      <c r="K420" s="5"/>
    </row>
    <row r="421" spans="1:11" hidden="1">
      <c r="A421" s="65" cm="1">
        <f t="array" ref="A421">IFERROR(INDEX('Master Vendor Data'!A:A, MATCH(TRUE, INDEX(TRIM('Master Vendor Data'!C:C)=TRIM(C421), 0), 0)), "")</f>
        <v>236</v>
      </c>
      <c r="B421" s="14" t="s">
        <v>17</v>
      </c>
      <c r="C421" s="14" t="s">
        <v>345</v>
      </c>
      <c r="D421" s="14" t="s">
        <v>541</v>
      </c>
      <c r="E421" s="5"/>
      <c r="F421" s="5">
        <v>320</v>
      </c>
      <c r="G421" s="5"/>
      <c r="H421" s="5"/>
      <c r="I421" s="5"/>
      <c r="J421" s="5"/>
      <c r="K421" s="5"/>
    </row>
    <row r="422" spans="1:11" hidden="1">
      <c r="A422" s="65" cm="1">
        <f t="array" ref="A422">IFERROR(INDEX('Master Vendor Data'!A:A, MATCH(TRUE, INDEX(TRIM('Master Vendor Data'!C:C)=TRIM(C422), 0), 0)), "")</f>
        <v>256</v>
      </c>
      <c r="B422" s="14" t="s">
        <v>128</v>
      </c>
      <c r="C422" s="14" t="s">
        <v>366</v>
      </c>
      <c r="D422" s="14" t="s">
        <v>542</v>
      </c>
      <c r="E422" s="5"/>
      <c r="F422" s="5">
        <v>242</v>
      </c>
      <c r="G422" s="5"/>
      <c r="H422" s="5"/>
      <c r="I422" s="5"/>
      <c r="J422" s="5"/>
      <c r="K422" s="5"/>
    </row>
    <row r="423" spans="1:11" hidden="1">
      <c r="A423" s="65" cm="1">
        <f t="array" ref="A423">IFERROR(INDEX('Master Vendor Data'!A:A, MATCH(TRUE, INDEX(TRIM('Master Vendor Data'!C:C)=TRIM(C423), 0), 0)), "")</f>
        <v>197</v>
      </c>
      <c r="B423" s="14" t="s">
        <v>128</v>
      </c>
      <c r="C423" s="14" t="s">
        <v>305</v>
      </c>
      <c r="D423" s="14" t="s">
        <v>542</v>
      </c>
      <c r="E423" s="5"/>
      <c r="F423" s="5">
        <v>39</v>
      </c>
      <c r="G423" s="5"/>
      <c r="H423" s="5"/>
      <c r="I423" s="5"/>
      <c r="J423" s="5"/>
      <c r="K423" s="5"/>
    </row>
    <row r="424" spans="1:11" hidden="1">
      <c r="A424" s="65" cm="1">
        <f t="array" ref="A424">IFERROR(INDEX('Master Vendor Data'!A:A, MATCH(TRUE, INDEX(TRIM('Master Vendor Data'!C:C)=TRIM(C424), 0), 0)), "")</f>
        <v>257</v>
      </c>
      <c r="B424" s="14" t="s">
        <v>128</v>
      </c>
      <c r="C424" s="14" t="s">
        <v>367</v>
      </c>
      <c r="D424" s="14" t="s">
        <v>542</v>
      </c>
      <c r="E424" s="5"/>
      <c r="F424" s="5">
        <v>156</v>
      </c>
      <c r="G424" s="5"/>
      <c r="H424" s="5"/>
      <c r="I424" s="5"/>
      <c r="J424" s="5"/>
      <c r="K424" s="5"/>
    </row>
    <row r="425" spans="1:11" hidden="1">
      <c r="A425" s="65" cm="1">
        <f t="array" ref="A425">IFERROR(INDEX('Master Vendor Data'!A:A, MATCH(TRUE, INDEX(TRIM('Master Vendor Data'!C:C)=TRIM(C425), 0), 0)), "")</f>
        <v>125</v>
      </c>
      <c r="B425" s="14" t="s">
        <v>128</v>
      </c>
      <c r="C425" s="14" t="s">
        <v>233</v>
      </c>
      <c r="D425" s="14" t="s">
        <v>542</v>
      </c>
      <c r="E425" s="5"/>
      <c r="F425" s="5">
        <v>6</v>
      </c>
      <c r="G425" s="5"/>
      <c r="H425" s="5"/>
      <c r="I425" s="5"/>
      <c r="J425" s="5"/>
      <c r="K425" s="5"/>
    </row>
    <row r="426" spans="1:11" hidden="1">
      <c r="A426" s="65" cm="1">
        <f t="array" ref="A426">IFERROR(INDEX('Master Vendor Data'!A:A, MATCH(TRUE, INDEX(TRIM('Master Vendor Data'!C:C)=TRIM(C426), 0), 0)), "")</f>
        <v>258</v>
      </c>
      <c r="B426" s="14" t="s">
        <v>128</v>
      </c>
      <c r="C426" s="14" t="s">
        <v>368</v>
      </c>
      <c r="D426" s="14" t="s">
        <v>542</v>
      </c>
      <c r="E426" s="5"/>
      <c r="F426" s="5">
        <v>357</v>
      </c>
      <c r="G426" s="5"/>
      <c r="H426" s="5"/>
      <c r="I426" s="5"/>
      <c r="J426" s="5"/>
      <c r="K426" s="5"/>
    </row>
    <row r="427" spans="1:11" hidden="1">
      <c r="A427" s="65" cm="1">
        <f t="array" ref="A427">IFERROR(INDEX('Master Vendor Data'!A:A, MATCH(TRUE, INDEX(TRIM('Master Vendor Data'!C:C)=TRIM(C427), 0), 0)), "")</f>
        <v>227</v>
      </c>
      <c r="B427" s="14" t="s">
        <v>128</v>
      </c>
      <c r="C427" s="14" t="s">
        <v>335</v>
      </c>
      <c r="D427" s="14" t="s">
        <v>542</v>
      </c>
      <c r="E427" s="5"/>
      <c r="F427" s="5">
        <v>939</v>
      </c>
      <c r="G427" s="5"/>
      <c r="H427" s="5"/>
      <c r="I427" s="5"/>
      <c r="J427" s="5"/>
      <c r="K427" s="5"/>
    </row>
    <row r="428" spans="1:11" hidden="1">
      <c r="A428" s="65" cm="1">
        <f t="array" ref="A428">IFERROR(INDEX('Master Vendor Data'!A:A, MATCH(TRUE, INDEX(TRIM('Master Vendor Data'!C:C)=TRIM(C428), 0), 0)), "")</f>
        <v>259</v>
      </c>
      <c r="B428" s="14" t="s">
        <v>128</v>
      </c>
      <c r="C428" s="14" t="s">
        <v>369</v>
      </c>
      <c r="D428" s="14" t="s">
        <v>542</v>
      </c>
      <c r="E428" s="5"/>
      <c r="F428" s="5">
        <v>1108</v>
      </c>
      <c r="G428" s="5"/>
      <c r="H428" s="5"/>
      <c r="I428" s="5"/>
      <c r="J428" s="5"/>
      <c r="K428" s="5"/>
    </row>
    <row r="429" spans="1:11" hidden="1">
      <c r="A429" s="65" cm="1">
        <f t="array" ref="A429">IFERROR(INDEX('Master Vendor Data'!A:A, MATCH(TRUE, INDEX(TRIM('Master Vendor Data'!C:C)=TRIM(C429), 0), 0)), "")</f>
        <v>167</v>
      </c>
      <c r="B429" s="14" t="s">
        <v>108</v>
      </c>
      <c r="C429" s="14" t="s">
        <v>275</v>
      </c>
      <c r="D429" s="14" t="s">
        <v>543</v>
      </c>
      <c r="E429" s="5"/>
      <c r="F429" s="5">
        <v>1407</v>
      </c>
      <c r="G429" s="5"/>
      <c r="H429" s="5"/>
      <c r="I429" s="5"/>
      <c r="J429" s="5"/>
      <c r="K429" s="5"/>
    </row>
    <row r="430" spans="1:11" hidden="1">
      <c r="A430" s="65" cm="1">
        <f t="array" ref="A430">IFERROR(INDEX('Master Vendor Data'!A:A, MATCH(TRUE, INDEX(TRIM('Master Vendor Data'!C:C)=TRIM(C430), 0), 0)), "")</f>
        <v>44</v>
      </c>
      <c r="B430" s="14" t="s">
        <v>108</v>
      </c>
      <c r="C430" s="14" t="s">
        <v>516</v>
      </c>
      <c r="D430" s="14" t="s">
        <v>543</v>
      </c>
      <c r="E430" s="5"/>
      <c r="F430" s="5">
        <v>1216</v>
      </c>
      <c r="G430" s="5"/>
      <c r="H430" s="5"/>
      <c r="I430" s="5"/>
      <c r="J430" s="5"/>
      <c r="K430" s="5"/>
    </row>
  </sheetData>
  <autoFilter ref="A1:K430" xr:uid="{5A651130-4BC8-48F1-A78C-1EDE691F7681}">
    <filterColumn colId="2">
      <filters>
        <filter val="Basil Hospitality Pvt Ltd"/>
      </filters>
    </filterColumn>
  </autoFilter>
  <pageMargins left="0.7" right="0.7" top="0.75" bottom="0.75" header="0.3" footer="0.3"/>
  <headerFooter>
    <oddFooter>&amp;C_x000D_&amp;1#&amp;"Calibri"&amp;9&amp;K000000 Internal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0893C-DBF9-4DA3-872C-0525E5121CE5}">
  <sheetPr filterMode="1"/>
  <dimension ref="A1:L146"/>
  <sheetViews>
    <sheetView showGridLines="0" workbookViewId="0">
      <pane xSplit="4" ySplit="1" topLeftCell="E126" activePane="bottomRight" state="frozen"/>
      <selection pane="bottomRight" activeCell="C152" sqref="C152"/>
      <selection pane="bottomLeft"/>
      <selection pane="topRight"/>
    </sheetView>
  </sheetViews>
  <sheetFormatPr defaultColWidth="15.140625" defaultRowHeight="14.45"/>
  <cols>
    <col min="3" max="3" width="36.140625" style="21" customWidth="1"/>
    <col min="4" max="4" width="31.5703125" style="2" customWidth="1"/>
    <col min="5" max="6" width="20.5703125" customWidth="1"/>
    <col min="7" max="7" width="18.85546875" style="2" customWidth="1"/>
    <col min="8" max="8" width="15.140625" style="2"/>
  </cols>
  <sheetData>
    <row r="1" spans="1:12" ht="57.95">
      <c r="A1" s="1" t="s">
        <v>0</v>
      </c>
      <c r="B1" s="7" t="s">
        <v>370</v>
      </c>
      <c r="C1" s="7" t="s">
        <v>2</v>
      </c>
      <c r="D1" s="20" t="s">
        <v>371</v>
      </c>
      <c r="E1" s="7" t="s">
        <v>372</v>
      </c>
      <c r="F1" s="7" t="s">
        <v>544</v>
      </c>
      <c r="G1" s="8" t="s">
        <v>373</v>
      </c>
      <c r="H1" s="7" t="s">
        <v>374</v>
      </c>
      <c r="I1" s="1" t="s">
        <v>375</v>
      </c>
      <c r="J1" s="7" t="s">
        <v>376</v>
      </c>
      <c r="K1" s="1" t="s">
        <v>377</v>
      </c>
      <c r="L1" s="1" t="s">
        <v>15</v>
      </c>
    </row>
    <row r="2" spans="1:12" ht="15.75" hidden="1">
      <c r="B2" s="5" t="s">
        <v>545</v>
      </c>
      <c r="C2" s="22" t="s">
        <v>546</v>
      </c>
      <c r="D2" s="18" t="s">
        <v>547</v>
      </c>
      <c r="E2" s="19"/>
      <c r="F2" s="30">
        <v>0</v>
      </c>
      <c r="G2" s="26">
        <v>2500</v>
      </c>
      <c r="H2" s="5" t="s">
        <v>25</v>
      </c>
      <c r="J2" s="5" t="s">
        <v>20</v>
      </c>
    </row>
    <row r="3" spans="1:12" ht="15.75" hidden="1">
      <c r="B3" s="5" t="s">
        <v>545</v>
      </c>
      <c r="C3" s="22" t="s">
        <v>548</v>
      </c>
      <c r="D3" s="18" t="s">
        <v>547</v>
      </c>
      <c r="E3" s="19"/>
      <c r="F3" s="30">
        <v>0</v>
      </c>
      <c r="G3" s="26">
        <v>1000</v>
      </c>
      <c r="H3" s="5" t="s">
        <v>25</v>
      </c>
      <c r="J3" s="5" t="s">
        <v>20</v>
      </c>
    </row>
    <row r="4" spans="1:12" ht="15.75" hidden="1">
      <c r="B4" s="5" t="s">
        <v>545</v>
      </c>
      <c r="C4" s="22" t="s">
        <v>549</v>
      </c>
      <c r="D4" s="18" t="s">
        <v>550</v>
      </c>
      <c r="E4" s="19"/>
      <c r="F4" s="30">
        <v>0</v>
      </c>
      <c r="G4" s="26">
        <v>2000</v>
      </c>
      <c r="H4" s="5" t="s">
        <v>25</v>
      </c>
      <c r="J4" s="5" t="s">
        <v>20</v>
      </c>
    </row>
    <row r="5" spans="1:12" ht="15.75" hidden="1">
      <c r="B5" s="5" t="s">
        <v>545</v>
      </c>
      <c r="C5" s="22" t="s">
        <v>551</v>
      </c>
      <c r="D5" s="18" t="s">
        <v>552</v>
      </c>
      <c r="E5" s="19"/>
      <c r="F5" s="30">
        <v>1410</v>
      </c>
      <c r="G5" s="26">
        <v>1150</v>
      </c>
      <c r="H5" s="5" t="s">
        <v>20</v>
      </c>
      <c r="J5" s="5" t="s">
        <v>20</v>
      </c>
    </row>
    <row r="6" spans="1:12" ht="16.5" hidden="1" customHeight="1">
      <c r="B6" s="5" t="s">
        <v>545</v>
      </c>
      <c r="C6" s="22" t="s">
        <v>553</v>
      </c>
      <c r="D6" s="18" t="s">
        <v>554</v>
      </c>
      <c r="E6" s="19"/>
      <c r="F6" s="30">
        <v>255</v>
      </c>
      <c r="G6" s="26">
        <v>1100</v>
      </c>
      <c r="H6" s="5" t="s">
        <v>25</v>
      </c>
      <c r="J6" s="5" t="s">
        <v>20</v>
      </c>
    </row>
    <row r="7" spans="1:12" ht="15.75" hidden="1">
      <c r="B7" s="5" t="s">
        <v>545</v>
      </c>
      <c r="C7" s="22" t="s">
        <v>555</v>
      </c>
      <c r="D7" s="18" t="s">
        <v>554</v>
      </c>
      <c r="E7" s="19"/>
      <c r="F7" s="30">
        <v>1104</v>
      </c>
      <c r="G7" s="26">
        <v>3800</v>
      </c>
      <c r="H7" s="5" t="s">
        <v>25</v>
      </c>
      <c r="J7" s="5" t="s">
        <v>20</v>
      </c>
    </row>
    <row r="8" spans="1:12" ht="15.75" hidden="1">
      <c r="B8" s="5" t="s">
        <v>545</v>
      </c>
      <c r="C8" s="22" t="s">
        <v>556</v>
      </c>
      <c r="D8" s="18" t="s">
        <v>557</v>
      </c>
      <c r="E8" s="19"/>
      <c r="F8" s="30">
        <v>668</v>
      </c>
      <c r="G8" s="26">
        <v>1100</v>
      </c>
      <c r="H8" s="5" t="s">
        <v>20</v>
      </c>
      <c r="J8" s="5" t="s">
        <v>20</v>
      </c>
    </row>
    <row r="9" spans="1:12" ht="15.75" hidden="1">
      <c r="B9" s="5" t="s">
        <v>545</v>
      </c>
      <c r="C9" s="22" t="s">
        <v>549</v>
      </c>
      <c r="D9" s="18" t="s">
        <v>558</v>
      </c>
      <c r="E9" s="19"/>
      <c r="F9" s="30">
        <v>0</v>
      </c>
      <c r="G9" s="26">
        <v>2000</v>
      </c>
      <c r="H9" s="5" t="s">
        <v>20</v>
      </c>
      <c r="J9" s="5" t="s">
        <v>20</v>
      </c>
    </row>
    <row r="10" spans="1:12" ht="15.75" hidden="1">
      <c r="B10" s="5" t="s">
        <v>545</v>
      </c>
      <c r="C10" s="22" t="s">
        <v>559</v>
      </c>
      <c r="D10" s="18" t="s">
        <v>560</v>
      </c>
      <c r="E10" s="19"/>
      <c r="F10" s="30">
        <v>0</v>
      </c>
      <c r="G10" s="26">
        <v>3000</v>
      </c>
      <c r="H10" s="5" t="s">
        <v>25</v>
      </c>
      <c r="J10" s="5" t="s">
        <v>20</v>
      </c>
    </row>
    <row r="11" spans="1:12" ht="15.75" hidden="1">
      <c r="B11" s="5" t="s">
        <v>545</v>
      </c>
      <c r="C11" s="22" t="s">
        <v>551</v>
      </c>
      <c r="D11" s="18" t="s">
        <v>560</v>
      </c>
      <c r="E11" s="19"/>
      <c r="F11" s="30">
        <v>0</v>
      </c>
      <c r="G11" s="26">
        <v>1150</v>
      </c>
      <c r="H11" s="5" t="s">
        <v>25</v>
      </c>
      <c r="J11" s="5" t="s">
        <v>20</v>
      </c>
    </row>
    <row r="12" spans="1:12" ht="15.75" hidden="1">
      <c r="B12" s="5" t="s">
        <v>545</v>
      </c>
      <c r="C12" s="22" t="s">
        <v>551</v>
      </c>
      <c r="D12" s="18" t="s">
        <v>561</v>
      </c>
      <c r="E12" s="19"/>
      <c r="F12" s="30">
        <v>0</v>
      </c>
      <c r="G12" s="26">
        <v>1150</v>
      </c>
      <c r="H12" s="5" t="s">
        <v>25</v>
      </c>
      <c r="J12" s="5" t="s">
        <v>20</v>
      </c>
    </row>
    <row r="13" spans="1:12" ht="15.75" hidden="1">
      <c r="B13" s="5" t="s">
        <v>545</v>
      </c>
      <c r="C13" s="22" t="s">
        <v>562</v>
      </c>
      <c r="D13" s="18" t="s">
        <v>563</v>
      </c>
      <c r="E13" s="19"/>
      <c r="F13" s="30">
        <v>340</v>
      </c>
      <c r="G13" s="26">
        <v>600</v>
      </c>
      <c r="H13" s="5" t="s">
        <v>25</v>
      </c>
      <c r="J13" s="5" t="s">
        <v>20</v>
      </c>
    </row>
    <row r="14" spans="1:12" ht="15.75" hidden="1">
      <c r="B14" s="5" t="s">
        <v>545</v>
      </c>
      <c r="C14" s="22" t="s">
        <v>562</v>
      </c>
      <c r="D14" s="18" t="s">
        <v>564</v>
      </c>
      <c r="E14" s="19"/>
      <c r="F14" s="30">
        <v>70</v>
      </c>
      <c r="G14" s="26">
        <v>600</v>
      </c>
      <c r="H14" s="5" t="s">
        <v>20</v>
      </c>
      <c r="J14" s="5" t="s">
        <v>20</v>
      </c>
    </row>
    <row r="15" spans="1:12" ht="15.75" hidden="1">
      <c r="B15" s="5" t="s">
        <v>545</v>
      </c>
      <c r="C15" s="22" t="s">
        <v>548</v>
      </c>
      <c r="D15" s="18" t="s">
        <v>565</v>
      </c>
      <c r="E15" s="19"/>
      <c r="F15" s="30">
        <v>750</v>
      </c>
      <c r="G15" s="26">
        <v>1000</v>
      </c>
      <c r="H15" s="5" t="s">
        <v>25</v>
      </c>
      <c r="J15" s="5" t="s">
        <v>20</v>
      </c>
    </row>
    <row r="16" spans="1:12" ht="15.75" hidden="1">
      <c r="B16" s="5" t="s">
        <v>545</v>
      </c>
      <c r="C16" s="22" t="s">
        <v>555</v>
      </c>
      <c r="D16" s="18" t="s">
        <v>565</v>
      </c>
      <c r="E16" s="19"/>
      <c r="F16" s="30">
        <v>310</v>
      </c>
      <c r="G16" s="26">
        <v>3800</v>
      </c>
      <c r="H16" s="5" t="s">
        <v>25</v>
      </c>
      <c r="J16" s="5" t="s">
        <v>20</v>
      </c>
    </row>
    <row r="17" spans="2:10" ht="15.75" hidden="1">
      <c r="B17" s="5" t="s">
        <v>545</v>
      </c>
      <c r="C17" s="22" t="s">
        <v>566</v>
      </c>
      <c r="D17" s="18" t="s">
        <v>567</v>
      </c>
      <c r="E17" s="19"/>
      <c r="F17" s="30">
        <v>200</v>
      </c>
      <c r="G17" s="26">
        <v>1200</v>
      </c>
      <c r="H17" s="5" t="s">
        <v>20</v>
      </c>
      <c r="J17" s="5" t="s">
        <v>20</v>
      </c>
    </row>
    <row r="18" spans="2:10" ht="15.75" hidden="1">
      <c r="B18" s="5" t="s">
        <v>545</v>
      </c>
      <c r="C18" s="22" t="s">
        <v>553</v>
      </c>
      <c r="D18" s="18" t="s">
        <v>568</v>
      </c>
      <c r="E18" s="19"/>
      <c r="F18" s="30">
        <v>100</v>
      </c>
      <c r="G18" s="26">
        <v>1100</v>
      </c>
      <c r="H18" s="5" t="s">
        <v>20</v>
      </c>
      <c r="J18" s="5" t="s">
        <v>20</v>
      </c>
    </row>
    <row r="19" spans="2:10" ht="15.75" hidden="1">
      <c r="B19" s="5" t="s">
        <v>545</v>
      </c>
      <c r="C19" s="22" t="s">
        <v>569</v>
      </c>
      <c r="D19" s="18" t="s">
        <v>467</v>
      </c>
      <c r="E19" s="19"/>
      <c r="F19" s="30"/>
      <c r="G19" s="26">
        <v>1000</v>
      </c>
      <c r="H19" s="5" t="s">
        <v>25</v>
      </c>
      <c r="J19" s="5" t="s">
        <v>20</v>
      </c>
    </row>
    <row r="20" spans="2:10" ht="15.75" hidden="1">
      <c r="B20" s="5" t="s">
        <v>545</v>
      </c>
      <c r="C20" s="22" t="s">
        <v>570</v>
      </c>
      <c r="D20" s="18" t="s">
        <v>571</v>
      </c>
      <c r="E20" s="19"/>
      <c r="F20" s="30"/>
      <c r="G20" s="26">
        <v>3800</v>
      </c>
      <c r="H20" s="5" t="s">
        <v>25</v>
      </c>
      <c r="J20" s="5" t="s">
        <v>20</v>
      </c>
    </row>
    <row r="21" spans="2:10" ht="15.75" hidden="1">
      <c r="B21" s="5" t="s">
        <v>545</v>
      </c>
      <c r="C21" s="22" t="s">
        <v>572</v>
      </c>
      <c r="D21" s="18" t="s">
        <v>573</v>
      </c>
      <c r="E21" s="19"/>
      <c r="F21" s="30"/>
      <c r="G21" s="26">
        <v>2300</v>
      </c>
      <c r="H21" s="5" t="s">
        <v>20</v>
      </c>
      <c r="J21" s="5" t="s">
        <v>20</v>
      </c>
    </row>
    <row r="22" spans="2:10" ht="15.75" hidden="1">
      <c r="B22" s="5" t="s">
        <v>545</v>
      </c>
      <c r="C22" s="22" t="s">
        <v>24</v>
      </c>
      <c r="D22" s="18" t="s">
        <v>406</v>
      </c>
      <c r="E22" s="19"/>
      <c r="F22" s="30"/>
      <c r="G22" s="26">
        <v>1000</v>
      </c>
      <c r="H22" s="5" t="s">
        <v>25</v>
      </c>
      <c r="J22" s="5" t="s">
        <v>20</v>
      </c>
    </row>
    <row r="23" spans="2:10" ht="15.75" hidden="1">
      <c r="B23" s="5" t="s">
        <v>545</v>
      </c>
      <c r="C23" s="22" t="s">
        <v>569</v>
      </c>
      <c r="D23" s="18" t="s">
        <v>574</v>
      </c>
      <c r="E23" s="19"/>
      <c r="F23" s="30"/>
      <c r="G23" s="26">
        <v>1000</v>
      </c>
      <c r="H23" s="5" t="s">
        <v>25</v>
      </c>
      <c r="J23" s="5" t="s">
        <v>20</v>
      </c>
    </row>
    <row r="24" spans="2:10" ht="15.75" hidden="1">
      <c r="B24" s="5" t="s">
        <v>545</v>
      </c>
      <c r="C24" s="22" t="s">
        <v>549</v>
      </c>
      <c r="D24" s="18" t="s">
        <v>575</v>
      </c>
      <c r="E24" s="19"/>
      <c r="F24" s="30"/>
      <c r="G24" s="26">
        <v>2000</v>
      </c>
      <c r="H24" s="5" t="s">
        <v>25</v>
      </c>
      <c r="J24" s="5" t="s">
        <v>20</v>
      </c>
    </row>
    <row r="25" spans="2:10" ht="15.75" hidden="1">
      <c r="B25" s="5" t="s">
        <v>545</v>
      </c>
      <c r="C25" s="22" t="s">
        <v>546</v>
      </c>
      <c r="D25" s="18" t="s">
        <v>576</v>
      </c>
      <c r="E25" s="19"/>
      <c r="F25" s="30"/>
      <c r="G25" s="26">
        <v>2500</v>
      </c>
      <c r="H25" s="5" t="s">
        <v>25</v>
      </c>
      <c r="J25" s="5" t="s">
        <v>20</v>
      </c>
    </row>
    <row r="26" spans="2:10" ht="15.75" hidden="1">
      <c r="B26" s="5" t="s">
        <v>545</v>
      </c>
      <c r="C26" s="22" t="s">
        <v>577</v>
      </c>
      <c r="D26" s="18" t="s">
        <v>576</v>
      </c>
      <c r="E26" s="19"/>
      <c r="F26" s="30"/>
      <c r="G26" s="26">
        <v>3000</v>
      </c>
      <c r="H26" s="5" t="s">
        <v>20</v>
      </c>
      <c r="J26" s="5" t="s">
        <v>20</v>
      </c>
    </row>
    <row r="27" spans="2:10" ht="15.75" hidden="1">
      <c r="B27" s="5" t="s">
        <v>545</v>
      </c>
      <c r="C27" s="22" t="s">
        <v>24</v>
      </c>
      <c r="D27" s="18" t="s">
        <v>578</v>
      </c>
      <c r="E27" s="19"/>
      <c r="F27" s="30"/>
      <c r="G27" s="26">
        <v>1000</v>
      </c>
      <c r="H27" s="5" t="s">
        <v>20</v>
      </c>
      <c r="J27" s="5" t="s">
        <v>20</v>
      </c>
    </row>
    <row r="28" spans="2:10" ht="15.75" hidden="1">
      <c r="B28" s="5" t="s">
        <v>545</v>
      </c>
      <c r="C28" s="22" t="s">
        <v>559</v>
      </c>
      <c r="D28" s="18" t="s">
        <v>579</v>
      </c>
      <c r="E28" s="19"/>
      <c r="F28" s="30"/>
      <c r="G28" s="26">
        <v>3000</v>
      </c>
      <c r="H28" s="5" t="s">
        <v>20</v>
      </c>
      <c r="J28" s="5" t="s">
        <v>20</v>
      </c>
    </row>
    <row r="29" spans="2:10" ht="15.75" hidden="1">
      <c r="B29" s="5" t="s">
        <v>545</v>
      </c>
      <c r="C29" s="22" t="s">
        <v>47</v>
      </c>
      <c r="D29" s="18" t="s">
        <v>580</v>
      </c>
      <c r="E29" s="19"/>
      <c r="F29" s="30"/>
      <c r="G29" s="26">
        <v>300</v>
      </c>
      <c r="H29" s="5" t="s">
        <v>20</v>
      </c>
      <c r="J29" s="5" t="s">
        <v>20</v>
      </c>
    </row>
    <row r="30" spans="2:10" ht="15.75" hidden="1">
      <c r="B30" s="5" t="s">
        <v>545</v>
      </c>
      <c r="C30" s="22" t="s">
        <v>581</v>
      </c>
      <c r="D30" s="18" t="s">
        <v>582</v>
      </c>
      <c r="E30" s="19"/>
      <c r="F30" s="30"/>
      <c r="G30" s="26">
        <v>1100</v>
      </c>
      <c r="H30" s="5" t="s">
        <v>20</v>
      </c>
      <c r="J30" s="5" t="s">
        <v>20</v>
      </c>
    </row>
    <row r="31" spans="2:10" ht="15.75" hidden="1">
      <c r="B31" s="5" t="s">
        <v>545</v>
      </c>
      <c r="C31" s="22" t="s">
        <v>549</v>
      </c>
      <c r="D31" s="18" t="s">
        <v>412</v>
      </c>
      <c r="E31" s="19"/>
      <c r="F31" s="30"/>
      <c r="G31" s="26">
        <v>2000</v>
      </c>
      <c r="H31" s="5" t="s">
        <v>20</v>
      </c>
      <c r="J31" s="5" t="s">
        <v>20</v>
      </c>
    </row>
    <row r="32" spans="2:10" ht="15.75" hidden="1">
      <c r="B32" s="5" t="s">
        <v>545</v>
      </c>
      <c r="C32" s="22" t="s">
        <v>559</v>
      </c>
      <c r="D32" s="18" t="s">
        <v>583</v>
      </c>
      <c r="E32" s="19"/>
      <c r="F32" s="30"/>
      <c r="G32" s="26">
        <v>3000</v>
      </c>
      <c r="H32" s="5" t="s">
        <v>25</v>
      </c>
      <c r="J32" s="5" t="s">
        <v>20</v>
      </c>
    </row>
    <row r="33" spans="2:10" ht="15.75" hidden="1">
      <c r="B33" s="5" t="s">
        <v>545</v>
      </c>
      <c r="C33" s="22" t="s">
        <v>549</v>
      </c>
      <c r="D33" s="18" t="s">
        <v>584</v>
      </c>
      <c r="E33" s="19"/>
      <c r="F33" s="30"/>
      <c r="G33" s="26">
        <v>2000</v>
      </c>
      <c r="H33" s="5" t="s">
        <v>20</v>
      </c>
      <c r="J33" s="5" t="s">
        <v>20</v>
      </c>
    </row>
    <row r="34" spans="2:10" ht="15.75" hidden="1">
      <c r="B34" s="5" t="s">
        <v>545</v>
      </c>
      <c r="C34" s="22" t="s">
        <v>24</v>
      </c>
      <c r="D34" s="18" t="s">
        <v>585</v>
      </c>
      <c r="E34" s="19"/>
      <c r="F34" s="30"/>
      <c r="G34" s="26">
        <v>1000</v>
      </c>
      <c r="H34" s="5" t="s">
        <v>20</v>
      </c>
      <c r="J34" s="5" t="s">
        <v>20</v>
      </c>
    </row>
    <row r="35" spans="2:10" ht="15.75" hidden="1">
      <c r="B35" s="5" t="s">
        <v>545</v>
      </c>
      <c r="C35" s="22" t="s">
        <v>559</v>
      </c>
      <c r="D35" s="18" t="s">
        <v>586</v>
      </c>
      <c r="E35" s="19"/>
      <c r="F35" s="30"/>
      <c r="G35" s="26">
        <v>3000</v>
      </c>
      <c r="H35" s="5" t="s">
        <v>20</v>
      </c>
      <c r="J35" s="5" t="s">
        <v>20</v>
      </c>
    </row>
    <row r="36" spans="2:10" ht="15.75" hidden="1">
      <c r="B36" s="5" t="s">
        <v>545</v>
      </c>
      <c r="C36" s="22" t="s">
        <v>587</v>
      </c>
      <c r="D36" s="18" t="s">
        <v>588</v>
      </c>
      <c r="E36" s="19"/>
      <c r="F36" s="30"/>
      <c r="G36" s="26">
        <v>2300</v>
      </c>
      <c r="H36" s="5" t="s">
        <v>20</v>
      </c>
      <c r="J36" s="5" t="s">
        <v>20</v>
      </c>
    </row>
    <row r="37" spans="2:10" ht="15.75" hidden="1">
      <c r="B37" s="5" t="s">
        <v>545</v>
      </c>
      <c r="C37" s="22" t="s">
        <v>577</v>
      </c>
      <c r="D37" s="18" t="s">
        <v>588</v>
      </c>
      <c r="E37" s="19"/>
      <c r="F37" s="30"/>
      <c r="G37" s="26">
        <v>3000</v>
      </c>
      <c r="H37" s="5" t="s">
        <v>20</v>
      </c>
      <c r="J37" s="5" t="s">
        <v>20</v>
      </c>
    </row>
    <row r="38" spans="2:10" ht="15.75" hidden="1">
      <c r="B38" s="5" t="s">
        <v>545</v>
      </c>
      <c r="C38" s="22" t="s">
        <v>559</v>
      </c>
      <c r="D38" s="18" t="s">
        <v>589</v>
      </c>
      <c r="E38" s="19"/>
      <c r="F38" s="30"/>
      <c r="G38" s="26">
        <v>3000</v>
      </c>
      <c r="H38" s="5" t="s">
        <v>25</v>
      </c>
      <c r="J38" s="5" t="s">
        <v>20</v>
      </c>
    </row>
    <row r="39" spans="2:10" ht="15.75" hidden="1">
      <c r="B39" s="5" t="s">
        <v>545</v>
      </c>
      <c r="C39" s="22" t="s">
        <v>587</v>
      </c>
      <c r="D39" s="18" t="s">
        <v>590</v>
      </c>
      <c r="E39" s="19"/>
      <c r="F39" s="30"/>
      <c r="G39" s="26">
        <v>2300</v>
      </c>
      <c r="H39" s="5" t="s">
        <v>25</v>
      </c>
      <c r="J39" s="5" t="s">
        <v>20</v>
      </c>
    </row>
    <row r="40" spans="2:10" ht="15.75" hidden="1">
      <c r="B40" s="5" t="s">
        <v>545</v>
      </c>
      <c r="C40" s="22" t="s">
        <v>566</v>
      </c>
      <c r="D40" s="18" t="s">
        <v>591</v>
      </c>
      <c r="E40" s="19"/>
      <c r="F40" s="30"/>
      <c r="G40" s="26">
        <v>1200</v>
      </c>
      <c r="H40" s="5" t="s">
        <v>25</v>
      </c>
      <c r="J40" s="5" t="s">
        <v>20</v>
      </c>
    </row>
    <row r="41" spans="2:10" ht="15.75" hidden="1">
      <c r="B41" s="5" t="s">
        <v>545</v>
      </c>
      <c r="C41" s="22" t="s">
        <v>572</v>
      </c>
      <c r="D41" s="18" t="s">
        <v>592</v>
      </c>
      <c r="E41" s="19"/>
      <c r="F41" s="30"/>
      <c r="G41" s="26">
        <v>2300</v>
      </c>
      <c r="H41" s="5" t="s">
        <v>25</v>
      </c>
      <c r="J41" s="5" t="s">
        <v>20</v>
      </c>
    </row>
    <row r="42" spans="2:10" ht="15.75" hidden="1">
      <c r="B42" s="5" t="s">
        <v>545</v>
      </c>
      <c r="C42" s="22" t="s">
        <v>593</v>
      </c>
      <c r="D42" s="18" t="s">
        <v>592</v>
      </c>
      <c r="E42" s="19"/>
      <c r="F42" s="30"/>
      <c r="G42" s="26">
        <v>500</v>
      </c>
      <c r="H42" s="5" t="s">
        <v>25</v>
      </c>
      <c r="J42" s="5" t="s">
        <v>20</v>
      </c>
    </row>
    <row r="43" spans="2:10" ht="15.75" hidden="1">
      <c r="B43" s="5" t="s">
        <v>545</v>
      </c>
      <c r="C43" s="22" t="s">
        <v>594</v>
      </c>
      <c r="D43" s="18" t="s">
        <v>592</v>
      </c>
      <c r="E43" s="19"/>
      <c r="F43" s="30"/>
      <c r="G43" s="26">
        <v>500</v>
      </c>
      <c r="H43" s="5" t="s">
        <v>25</v>
      </c>
      <c r="J43" s="5" t="s">
        <v>20</v>
      </c>
    </row>
    <row r="44" spans="2:10" ht="15.75" hidden="1">
      <c r="B44" s="5" t="s">
        <v>545</v>
      </c>
      <c r="C44" s="22" t="s">
        <v>577</v>
      </c>
      <c r="D44" s="18" t="s">
        <v>595</v>
      </c>
      <c r="E44" s="19"/>
      <c r="F44" s="30"/>
      <c r="G44" s="26">
        <v>3000</v>
      </c>
      <c r="H44" s="5" t="s">
        <v>20</v>
      </c>
      <c r="J44" s="5" t="s">
        <v>20</v>
      </c>
    </row>
    <row r="45" spans="2:10" ht="15.75" hidden="1">
      <c r="B45" s="5" t="s">
        <v>545</v>
      </c>
      <c r="C45" s="22" t="s">
        <v>570</v>
      </c>
      <c r="D45" s="18" t="s">
        <v>596</v>
      </c>
      <c r="E45" s="19"/>
      <c r="F45" s="30"/>
      <c r="G45" s="26">
        <v>3800</v>
      </c>
      <c r="H45" s="5" t="s">
        <v>25</v>
      </c>
      <c r="J45" s="5" t="s">
        <v>20</v>
      </c>
    </row>
    <row r="46" spans="2:10" ht="15.75" hidden="1">
      <c r="B46" s="5" t="s">
        <v>545</v>
      </c>
      <c r="C46" s="22" t="s">
        <v>559</v>
      </c>
      <c r="D46" s="18" t="s">
        <v>597</v>
      </c>
      <c r="E46" s="19"/>
      <c r="F46" s="30"/>
      <c r="G46" s="26">
        <v>3000</v>
      </c>
      <c r="H46" s="5" t="s">
        <v>20</v>
      </c>
      <c r="J46" s="5" t="s">
        <v>20</v>
      </c>
    </row>
    <row r="47" spans="2:10" ht="15.75" hidden="1">
      <c r="B47" s="5" t="s">
        <v>545</v>
      </c>
      <c r="C47" s="22" t="s">
        <v>559</v>
      </c>
      <c r="D47" s="18" t="s">
        <v>598</v>
      </c>
      <c r="E47" s="19"/>
      <c r="F47" s="30"/>
      <c r="G47" s="26">
        <v>3000</v>
      </c>
      <c r="H47" s="5" t="s">
        <v>20</v>
      </c>
      <c r="J47" s="5" t="s">
        <v>20</v>
      </c>
    </row>
    <row r="48" spans="2:10" ht="15.75" hidden="1">
      <c r="B48" s="5" t="s">
        <v>545</v>
      </c>
      <c r="C48" s="22" t="s">
        <v>577</v>
      </c>
      <c r="D48" s="18" t="s">
        <v>599</v>
      </c>
      <c r="E48" s="19"/>
      <c r="F48" s="30"/>
      <c r="G48" s="26">
        <v>3000</v>
      </c>
      <c r="H48" s="5" t="s">
        <v>25</v>
      </c>
      <c r="J48" s="5" t="s">
        <v>20</v>
      </c>
    </row>
    <row r="49" spans="2:10" ht="15.75" hidden="1">
      <c r="B49" s="5" t="s">
        <v>545</v>
      </c>
      <c r="C49" s="22" t="s">
        <v>559</v>
      </c>
      <c r="D49" s="18" t="s">
        <v>600</v>
      </c>
      <c r="E49" s="19"/>
      <c r="F49" s="30"/>
      <c r="G49" s="26">
        <v>3000</v>
      </c>
      <c r="H49" s="5" t="s">
        <v>25</v>
      </c>
      <c r="J49" s="5" t="s">
        <v>20</v>
      </c>
    </row>
    <row r="50" spans="2:10" ht="15.75" hidden="1">
      <c r="B50" s="5" t="s">
        <v>545</v>
      </c>
      <c r="C50" s="22" t="s">
        <v>566</v>
      </c>
      <c r="D50" s="18" t="s">
        <v>601</v>
      </c>
      <c r="E50" s="19"/>
      <c r="F50" s="30"/>
      <c r="G50" s="26">
        <v>1200</v>
      </c>
      <c r="H50" s="5" t="s">
        <v>20</v>
      </c>
      <c r="J50" s="5" t="s">
        <v>20</v>
      </c>
    </row>
    <row r="51" spans="2:10" ht="15.75" hidden="1">
      <c r="B51" s="5" t="s">
        <v>545</v>
      </c>
      <c r="C51" s="22" t="s">
        <v>553</v>
      </c>
      <c r="D51" s="18" t="s">
        <v>602</v>
      </c>
      <c r="E51" s="19"/>
      <c r="F51" s="30"/>
      <c r="G51" s="26">
        <v>1100</v>
      </c>
      <c r="H51" s="5" t="s">
        <v>20</v>
      </c>
      <c r="J51" s="5" t="s">
        <v>20</v>
      </c>
    </row>
    <row r="52" spans="2:10" ht="15.75" hidden="1">
      <c r="B52" s="5" t="s">
        <v>545</v>
      </c>
      <c r="C52" s="22" t="s">
        <v>553</v>
      </c>
      <c r="D52" s="18" t="s">
        <v>603</v>
      </c>
      <c r="E52" s="19"/>
      <c r="F52" s="30"/>
      <c r="G52" s="26">
        <v>1100</v>
      </c>
      <c r="H52" s="5" t="s">
        <v>20</v>
      </c>
      <c r="J52" s="5" t="s">
        <v>20</v>
      </c>
    </row>
    <row r="53" spans="2:10" ht="15.75" hidden="1">
      <c r="B53" s="5" t="s">
        <v>545</v>
      </c>
      <c r="C53" s="22" t="s">
        <v>555</v>
      </c>
      <c r="D53" s="18" t="s">
        <v>604</v>
      </c>
      <c r="E53" s="19"/>
      <c r="F53" s="30"/>
      <c r="G53" s="26">
        <v>3800</v>
      </c>
      <c r="H53" s="5" t="s">
        <v>20</v>
      </c>
      <c r="J53" s="5" t="s">
        <v>20</v>
      </c>
    </row>
    <row r="54" spans="2:10" ht="15.75" hidden="1">
      <c r="B54" s="5" t="s">
        <v>545</v>
      </c>
      <c r="C54" s="22" t="s">
        <v>24</v>
      </c>
      <c r="D54" s="18" t="s">
        <v>605</v>
      </c>
      <c r="E54" s="19"/>
      <c r="F54" s="30"/>
      <c r="G54" s="26">
        <v>1000</v>
      </c>
      <c r="H54" s="5" t="s">
        <v>20</v>
      </c>
      <c r="J54" s="5" t="s">
        <v>20</v>
      </c>
    </row>
    <row r="55" spans="2:10" ht="15.75" hidden="1">
      <c r="B55" s="5" t="s">
        <v>545</v>
      </c>
      <c r="C55" s="22" t="s">
        <v>549</v>
      </c>
      <c r="D55" s="18" t="s">
        <v>606</v>
      </c>
      <c r="E55" s="19"/>
      <c r="F55" s="30"/>
      <c r="G55" s="26">
        <v>2000</v>
      </c>
      <c r="H55" s="5" t="s">
        <v>20</v>
      </c>
      <c r="J55" s="5" t="s">
        <v>20</v>
      </c>
    </row>
    <row r="56" spans="2:10" ht="15.75" hidden="1">
      <c r="B56" s="5" t="s">
        <v>545</v>
      </c>
      <c r="C56" s="22" t="s">
        <v>607</v>
      </c>
      <c r="D56" s="18" t="s">
        <v>608</v>
      </c>
      <c r="E56" s="19"/>
      <c r="F56" s="30"/>
      <c r="G56" s="26">
        <v>2300</v>
      </c>
      <c r="H56" s="5" t="s">
        <v>20</v>
      </c>
      <c r="J56" s="5" t="s">
        <v>20</v>
      </c>
    </row>
    <row r="57" spans="2:10" ht="15.75" hidden="1">
      <c r="B57" s="5" t="s">
        <v>545</v>
      </c>
      <c r="C57" s="22" t="s">
        <v>609</v>
      </c>
      <c r="D57" s="18" t="s">
        <v>608</v>
      </c>
      <c r="E57" s="19"/>
      <c r="F57" s="30"/>
      <c r="G57" s="26">
        <v>500</v>
      </c>
      <c r="H57" s="5" t="s">
        <v>20</v>
      </c>
      <c r="J57" s="5" t="s">
        <v>20</v>
      </c>
    </row>
    <row r="58" spans="2:10" ht="15.75" hidden="1">
      <c r="B58" s="5" t="s">
        <v>545</v>
      </c>
      <c r="C58" s="22" t="s">
        <v>610</v>
      </c>
      <c r="D58" s="18" t="s">
        <v>608</v>
      </c>
      <c r="E58" s="19"/>
      <c r="F58" s="30"/>
      <c r="G58" s="26">
        <v>500</v>
      </c>
      <c r="H58" s="5" t="s">
        <v>20</v>
      </c>
      <c r="J58" s="5" t="s">
        <v>20</v>
      </c>
    </row>
    <row r="59" spans="2:10" ht="15" hidden="1">
      <c r="B59" s="5" t="s">
        <v>545</v>
      </c>
      <c r="C59" s="23" t="s">
        <v>581</v>
      </c>
      <c r="D59" s="5" t="s">
        <v>611</v>
      </c>
      <c r="E59" s="19"/>
      <c r="F59" s="30"/>
      <c r="G59" s="27">
        <v>1100</v>
      </c>
      <c r="H59" s="5" t="s">
        <v>20</v>
      </c>
      <c r="J59" s="5" t="s">
        <v>20</v>
      </c>
    </row>
    <row r="60" spans="2:10" ht="15" hidden="1">
      <c r="B60" s="5" t="s">
        <v>108</v>
      </c>
      <c r="C60" s="46" t="s">
        <v>612</v>
      </c>
      <c r="D60" s="47" t="s">
        <v>613</v>
      </c>
      <c r="F60" s="30"/>
      <c r="G60" s="9">
        <v>1800</v>
      </c>
    </row>
    <row r="61" spans="2:10" ht="15" hidden="1">
      <c r="B61" s="3" t="s">
        <v>108</v>
      </c>
      <c r="C61" s="46" t="s">
        <v>614</v>
      </c>
      <c r="D61" s="47" t="s">
        <v>615</v>
      </c>
      <c r="F61" s="30"/>
      <c r="G61" s="9">
        <v>15000</v>
      </c>
    </row>
    <row r="62" spans="2:10" ht="15" hidden="1">
      <c r="B62" s="3" t="s">
        <v>108</v>
      </c>
      <c r="C62" s="46" t="s">
        <v>616</v>
      </c>
      <c r="D62" s="47" t="s">
        <v>617</v>
      </c>
      <c r="F62" s="30"/>
      <c r="G62" s="9">
        <v>2000</v>
      </c>
    </row>
    <row r="63" spans="2:10" ht="15" hidden="1">
      <c r="B63" s="3" t="s">
        <v>108</v>
      </c>
      <c r="C63" s="46" t="s">
        <v>618</v>
      </c>
      <c r="D63" s="47" t="s">
        <v>543</v>
      </c>
      <c r="F63" s="30"/>
      <c r="G63" s="9">
        <v>1500</v>
      </c>
    </row>
    <row r="64" spans="2:10" ht="15" hidden="1">
      <c r="B64" s="3" t="s">
        <v>108</v>
      </c>
      <c r="C64" s="46" t="s">
        <v>619</v>
      </c>
      <c r="D64" s="47" t="s">
        <v>620</v>
      </c>
      <c r="F64" s="30"/>
      <c r="G64" s="9">
        <v>1000</v>
      </c>
    </row>
    <row r="65" spans="2:7" ht="15" hidden="1">
      <c r="B65" s="3" t="s">
        <v>108</v>
      </c>
      <c r="C65" s="46" t="s">
        <v>621</v>
      </c>
      <c r="D65" s="47" t="s">
        <v>622</v>
      </c>
      <c r="F65" s="30"/>
      <c r="G65" s="9">
        <v>2500</v>
      </c>
    </row>
    <row r="66" spans="2:7" ht="15" hidden="1">
      <c r="B66" s="3" t="s">
        <v>108</v>
      </c>
      <c r="C66" s="46" t="s">
        <v>623</v>
      </c>
      <c r="D66" s="47" t="s">
        <v>624</v>
      </c>
      <c r="F66" s="30"/>
      <c r="G66" s="9">
        <v>2000</v>
      </c>
    </row>
    <row r="67" spans="2:7" ht="15" hidden="1">
      <c r="B67" s="3" t="s">
        <v>108</v>
      </c>
      <c r="C67" s="46" t="s">
        <v>623</v>
      </c>
      <c r="D67" s="47" t="s">
        <v>625</v>
      </c>
      <c r="F67" s="30"/>
      <c r="G67" s="28">
        <v>2000</v>
      </c>
    </row>
    <row r="68" spans="2:7" ht="15" hidden="1">
      <c r="B68" s="3" t="s">
        <v>108</v>
      </c>
      <c r="C68" s="46" t="s">
        <v>626</v>
      </c>
      <c r="D68" s="47" t="s">
        <v>599</v>
      </c>
      <c r="F68" s="30"/>
      <c r="G68" s="28">
        <v>500</v>
      </c>
    </row>
    <row r="69" spans="2:7" ht="15" hidden="1">
      <c r="B69" s="3" t="s">
        <v>108</v>
      </c>
      <c r="C69" s="46" t="s">
        <v>627</v>
      </c>
      <c r="D69" s="47" t="s">
        <v>628</v>
      </c>
      <c r="F69" s="30"/>
      <c r="G69" s="9">
        <v>1500</v>
      </c>
    </row>
    <row r="70" spans="2:7" ht="15" hidden="1">
      <c r="B70" s="3" t="s">
        <v>108</v>
      </c>
      <c r="C70" s="46" t="s">
        <v>629</v>
      </c>
      <c r="D70" s="47" t="s">
        <v>630</v>
      </c>
      <c r="F70" s="30"/>
      <c r="G70" s="9">
        <v>1500</v>
      </c>
    </row>
    <row r="71" spans="2:7" ht="60" hidden="1">
      <c r="B71" s="3" t="s">
        <v>108</v>
      </c>
      <c r="C71" s="46" t="s">
        <v>631</v>
      </c>
      <c r="D71" s="47" t="s">
        <v>632</v>
      </c>
      <c r="F71" s="30"/>
      <c r="G71" s="9">
        <v>1500</v>
      </c>
    </row>
    <row r="72" spans="2:7" ht="15" hidden="1">
      <c r="B72" s="3" t="s">
        <v>108</v>
      </c>
      <c r="C72" s="46" t="s">
        <v>623</v>
      </c>
      <c r="D72" s="47" t="s">
        <v>568</v>
      </c>
      <c r="F72" s="12"/>
      <c r="G72" s="9">
        <v>2000</v>
      </c>
    </row>
    <row r="73" spans="2:7" ht="15" hidden="1">
      <c r="B73" s="3" t="s">
        <v>108</v>
      </c>
      <c r="C73" s="46" t="s">
        <v>633</v>
      </c>
      <c r="D73" s="47" t="s">
        <v>634</v>
      </c>
      <c r="F73" s="12"/>
      <c r="G73" s="9">
        <v>3000</v>
      </c>
    </row>
    <row r="74" spans="2:7" ht="15" hidden="1">
      <c r="B74" s="3" t="s">
        <v>108</v>
      </c>
      <c r="C74" s="46" t="s">
        <v>120</v>
      </c>
      <c r="D74" s="47" t="s">
        <v>635</v>
      </c>
      <c r="F74" s="12"/>
      <c r="G74" s="9">
        <v>600</v>
      </c>
    </row>
    <row r="75" spans="2:7" ht="15" hidden="1">
      <c r="B75" s="3" t="s">
        <v>108</v>
      </c>
      <c r="C75" s="46" t="s">
        <v>636</v>
      </c>
      <c r="D75" s="47" t="s">
        <v>637</v>
      </c>
      <c r="F75" s="12"/>
      <c r="G75" s="29">
        <v>300</v>
      </c>
    </row>
    <row r="76" spans="2:7" ht="15" hidden="1">
      <c r="B76" s="3" t="s">
        <v>638</v>
      </c>
      <c r="C76" s="6" t="s">
        <v>639</v>
      </c>
      <c r="D76" s="9" t="s">
        <v>640</v>
      </c>
      <c r="F76" s="12"/>
      <c r="G76" s="29"/>
    </row>
    <row r="77" spans="2:7" ht="15" hidden="1">
      <c r="B77" s="3" t="s">
        <v>638</v>
      </c>
      <c r="C77" s="6" t="s">
        <v>641</v>
      </c>
      <c r="D77" s="9" t="s">
        <v>640</v>
      </c>
      <c r="F77" s="12"/>
      <c r="G77" s="29"/>
    </row>
    <row r="78" spans="2:7" ht="15" hidden="1">
      <c r="B78" s="3" t="s">
        <v>638</v>
      </c>
      <c r="C78" s="6" t="s">
        <v>642</v>
      </c>
      <c r="D78" s="9" t="s">
        <v>640</v>
      </c>
      <c r="F78" s="12"/>
      <c r="G78" s="29"/>
    </row>
    <row r="79" spans="2:7" ht="15" hidden="1">
      <c r="B79" s="3" t="s">
        <v>638</v>
      </c>
      <c r="C79" s="6" t="s">
        <v>639</v>
      </c>
      <c r="D79" s="9" t="s">
        <v>640</v>
      </c>
      <c r="F79" s="12"/>
      <c r="G79" s="29"/>
    </row>
    <row r="80" spans="2:7" ht="15" hidden="1">
      <c r="B80" s="3" t="s">
        <v>638</v>
      </c>
      <c r="C80" s="24" t="s">
        <v>643</v>
      </c>
      <c r="D80" s="3" t="s">
        <v>640</v>
      </c>
      <c r="F80" s="12"/>
      <c r="G80" s="29"/>
    </row>
    <row r="81" spans="2:7" ht="15" hidden="1">
      <c r="B81" s="3" t="s">
        <v>638</v>
      </c>
      <c r="C81" s="6" t="s">
        <v>639</v>
      </c>
      <c r="D81" s="3" t="s">
        <v>640</v>
      </c>
      <c r="F81" s="12"/>
      <c r="G81" s="29"/>
    </row>
    <row r="82" spans="2:7" ht="15" hidden="1">
      <c r="B82" s="3" t="s">
        <v>638</v>
      </c>
      <c r="C82" s="6" t="s">
        <v>642</v>
      </c>
      <c r="D82" s="3" t="s">
        <v>640</v>
      </c>
      <c r="F82" s="12"/>
      <c r="G82" s="29"/>
    </row>
    <row r="83" spans="2:7" ht="15" hidden="1">
      <c r="B83" s="3" t="s">
        <v>638</v>
      </c>
      <c r="C83" s="6" t="s">
        <v>643</v>
      </c>
      <c r="D83" s="3" t="s">
        <v>640</v>
      </c>
      <c r="F83" s="12"/>
      <c r="G83" s="29"/>
    </row>
    <row r="84" spans="2:7" ht="15" hidden="1">
      <c r="B84" s="3" t="s">
        <v>638</v>
      </c>
      <c r="C84" s="6" t="s">
        <v>641</v>
      </c>
      <c r="D84" s="3" t="s">
        <v>640</v>
      </c>
      <c r="F84" s="12"/>
      <c r="G84" s="29"/>
    </row>
    <row r="85" spans="2:7" ht="15" hidden="1">
      <c r="B85" s="3" t="s">
        <v>638</v>
      </c>
      <c r="C85" s="6" t="s">
        <v>644</v>
      </c>
      <c r="D85" s="3" t="s">
        <v>640</v>
      </c>
      <c r="F85" s="12"/>
      <c r="G85" s="29"/>
    </row>
    <row r="86" spans="2:7" ht="30" hidden="1">
      <c r="B86" s="3" t="s">
        <v>638</v>
      </c>
      <c r="C86" s="6" t="s">
        <v>645</v>
      </c>
      <c r="D86" s="3" t="s">
        <v>632</v>
      </c>
      <c r="F86" s="12"/>
      <c r="G86" s="29"/>
    </row>
    <row r="87" spans="2:7" ht="15" hidden="1">
      <c r="B87" s="3" t="s">
        <v>638</v>
      </c>
      <c r="C87" s="6" t="s">
        <v>646</v>
      </c>
      <c r="D87" s="3" t="s">
        <v>647</v>
      </c>
      <c r="F87" s="12"/>
      <c r="G87" s="29"/>
    </row>
    <row r="88" spans="2:7" ht="15" hidden="1">
      <c r="B88" s="3" t="s">
        <v>638</v>
      </c>
      <c r="C88" s="6" t="s">
        <v>648</v>
      </c>
      <c r="D88" s="3" t="s">
        <v>573</v>
      </c>
      <c r="F88" s="12"/>
      <c r="G88" s="29"/>
    </row>
    <row r="89" spans="2:7" ht="15" hidden="1">
      <c r="B89" s="3" t="s">
        <v>638</v>
      </c>
      <c r="C89" s="6" t="s">
        <v>649</v>
      </c>
      <c r="D89" s="3" t="s">
        <v>650</v>
      </c>
      <c r="F89" s="12">
        <v>0</v>
      </c>
      <c r="G89" s="29"/>
    </row>
    <row r="90" spans="2:7" ht="15" hidden="1">
      <c r="B90" s="3" t="s">
        <v>638</v>
      </c>
      <c r="C90" s="6" t="s">
        <v>651</v>
      </c>
      <c r="D90" s="3" t="s">
        <v>652</v>
      </c>
      <c r="F90" s="12"/>
      <c r="G90" s="29"/>
    </row>
    <row r="91" spans="2:7" ht="15" hidden="1">
      <c r="B91" s="3" t="s">
        <v>638</v>
      </c>
      <c r="C91" s="6" t="s">
        <v>653</v>
      </c>
      <c r="D91" s="3" t="s">
        <v>654</v>
      </c>
      <c r="F91" s="12"/>
      <c r="G91" s="29"/>
    </row>
    <row r="92" spans="2:7" ht="15" hidden="1">
      <c r="B92" s="16" t="s">
        <v>638</v>
      </c>
      <c r="C92" s="6" t="s">
        <v>655</v>
      </c>
      <c r="D92" s="16" t="s">
        <v>654</v>
      </c>
      <c r="F92" s="12"/>
      <c r="G92" s="29"/>
    </row>
    <row r="93" spans="2:7" ht="15" hidden="1">
      <c r="B93" s="3" t="s">
        <v>638</v>
      </c>
      <c r="C93" s="6" t="s">
        <v>656</v>
      </c>
      <c r="D93" s="3" t="s">
        <v>149</v>
      </c>
      <c r="F93" s="12"/>
      <c r="G93" s="29"/>
    </row>
    <row r="94" spans="2:7" ht="15" hidden="1">
      <c r="B94" s="3" t="s">
        <v>638</v>
      </c>
      <c r="C94" s="6" t="s">
        <v>148</v>
      </c>
      <c r="D94" s="3" t="s">
        <v>149</v>
      </c>
      <c r="F94" s="12"/>
      <c r="G94" s="29"/>
    </row>
    <row r="95" spans="2:7" ht="15" hidden="1">
      <c r="B95" s="3" t="s">
        <v>638</v>
      </c>
      <c r="C95" s="6" t="s">
        <v>148</v>
      </c>
      <c r="D95" s="3" t="s">
        <v>388</v>
      </c>
      <c r="F95" s="12"/>
      <c r="G95" s="29"/>
    </row>
    <row r="96" spans="2:7" ht="15" hidden="1">
      <c r="B96" s="3" t="s">
        <v>638</v>
      </c>
      <c r="C96" s="6" t="s">
        <v>153</v>
      </c>
      <c r="D96" s="3" t="s">
        <v>388</v>
      </c>
      <c r="F96" s="12"/>
      <c r="G96" s="29"/>
    </row>
    <row r="97" spans="2:7" ht="15" hidden="1">
      <c r="B97" s="3" t="s">
        <v>657</v>
      </c>
      <c r="C97" s="6" t="s">
        <v>651</v>
      </c>
      <c r="D97" s="3" t="s">
        <v>658</v>
      </c>
      <c r="F97" s="12"/>
      <c r="G97" s="29"/>
    </row>
    <row r="98" spans="2:7" ht="15" hidden="1">
      <c r="B98" s="3" t="s">
        <v>638</v>
      </c>
      <c r="C98" s="6" t="s">
        <v>651</v>
      </c>
      <c r="D98" s="3" t="s">
        <v>615</v>
      </c>
      <c r="F98" s="12"/>
      <c r="G98" s="29"/>
    </row>
    <row r="99" spans="2:7" ht="15" hidden="1">
      <c r="B99" s="3" t="s">
        <v>638</v>
      </c>
      <c r="C99" s="6" t="s">
        <v>659</v>
      </c>
      <c r="D99" s="3" t="s">
        <v>615</v>
      </c>
      <c r="F99" s="12"/>
      <c r="G99" s="29"/>
    </row>
    <row r="100" spans="2:7" ht="15" hidden="1">
      <c r="B100" s="3" t="s">
        <v>638</v>
      </c>
      <c r="C100" s="6" t="s">
        <v>659</v>
      </c>
      <c r="D100" s="3" t="s">
        <v>615</v>
      </c>
      <c r="F100" s="12"/>
      <c r="G100" s="29"/>
    </row>
    <row r="101" spans="2:7" ht="15" hidden="1">
      <c r="B101" s="3" t="s">
        <v>638</v>
      </c>
      <c r="C101" s="6" t="s">
        <v>659</v>
      </c>
      <c r="D101" s="3" t="s">
        <v>615</v>
      </c>
      <c r="F101" s="12"/>
      <c r="G101" s="10"/>
    </row>
    <row r="102" spans="2:7" ht="15" hidden="1">
      <c r="B102" s="3" t="s">
        <v>638</v>
      </c>
      <c r="C102" s="6" t="s">
        <v>651</v>
      </c>
      <c r="D102" s="3" t="s">
        <v>615</v>
      </c>
      <c r="F102" s="12"/>
      <c r="G102" s="10"/>
    </row>
    <row r="103" spans="2:7" ht="15" hidden="1">
      <c r="B103" s="16" t="s">
        <v>92</v>
      </c>
      <c r="C103" s="25" t="s">
        <v>95</v>
      </c>
      <c r="D103" s="16" t="s">
        <v>615</v>
      </c>
      <c r="F103" s="12"/>
      <c r="G103" s="9"/>
    </row>
    <row r="104" spans="2:7" ht="15" hidden="1">
      <c r="B104" s="16" t="s">
        <v>92</v>
      </c>
      <c r="C104" s="25" t="s">
        <v>660</v>
      </c>
      <c r="D104" s="16" t="s">
        <v>615</v>
      </c>
      <c r="F104" s="12"/>
      <c r="G104" s="9"/>
    </row>
    <row r="105" spans="2:7" ht="15" hidden="1">
      <c r="B105" s="16" t="s">
        <v>92</v>
      </c>
      <c r="C105" s="25" t="s">
        <v>95</v>
      </c>
      <c r="D105" s="16" t="s">
        <v>615</v>
      </c>
      <c r="F105" s="12"/>
      <c r="G105" s="9"/>
    </row>
    <row r="106" spans="2:7" ht="30" hidden="1">
      <c r="B106" s="16" t="s">
        <v>97</v>
      </c>
      <c r="C106" s="25" t="s">
        <v>661</v>
      </c>
      <c r="D106" s="16" t="s">
        <v>615</v>
      </c>
      <c r="F106" s="12"/>
      <c r="G106" s="9"/>
    </row>
    <row r="107" spans="2:7" ht="15" hidden="1">
      <c r="B107" s="16" t="s">
        <v>662</v>
      </c>
      <c r="C107" s="17" t="s">
        <v>663</v>
      </c>
      <c r="D107" s="16" t="s">
        <v>615</v>
      </c>
      <c r="F107" s="12"/>
      <c r="G107" s="9"/>
    </row>
    <row r="108" spans="2:7">
      <c r="B108" s="3" t="s">
        <v>664</v>
      </c>
      <c r="C108" s="17" t="s">
        <v>83</v>
      </c>
      <c r="D108" s="16" t="s">
        <v>665</v>
      </c>
      <c r="F108" s="12"/>
      <c r="G108" s="9"/>
    </row>
    <row r="109" spans="2:7">
      <c r="B109" s="3" t="s">
        <v>664</v>
      </c>
      <c r="C109" s="17" t="s">
        <v>83</v>
      </c>
      <c r="D109" s="16" t="s">
        <v>665</v>
      </c>
      <c r="F109" s="12"/>
      <c r="G109" s="9"/>
    </row>
    <row r="110" spans="2:7" ht="15" hidden="1">
      <c r="B110" s="16" t="s">
        <v>662</v>
      </c>
      <c r="C110" s="17" t="s">
        <v>666</v>
      </c>
      <c r="D110" s="16" t="s">
        <v>665</v>
      </c>
      <c r="F110" s="12"/>
      <c r="G110" s="9"/>
    </row>
    <row r="111" spans="2:7" ht="15" hidden="1">
      <c r="B111" s="16" t="s">
        <v>662</v>
      </c>
      <c r="C111" s="17" t="s">
        <v>667</v>
      </c>
      <c r="D111" s="16" t="s">
        <v>665</v>
      </c>
      <c r="F111" s="12"/>
      <c r="G111" s="9"/>
    </row>
    <row r="112" spans="2:7" ht="15" hidden="1">
      <c r="B112" s="16" t="s">
        <v>662</v>
      </c>
      <c r="C112" s="17" t="s">
        <v>663</v>
      </c>
      <c r="D112" s="16" t="s">
        <v>595</v>
      </c>
      <c r="F112" s="12"/>
      <c r="G112" s="9"/>
    </row>
    <row r="113" spans="2:7">
      <c r="B113" s="3" t="s">
        <v>664</v>
      </c>
      <c r="C113" s="17" t="s">
        <v>668</v>
      </c>
      <c r="D113" s="16" t="s">
        <v>669</v>
      </c>
      <c r="F113" s="12"/>
      <c r="G113" s="9"/>
    </row>
    <row r="114" spans="2:7">
      <c r="B114" s="3" t="s">
        <v>664</v>
      </c>
      <c r="C114" s="17" t="s">
        <v>89</v>
      </c>
      <c r="D114" s="16" t="s">
        <v>670</v>
      </c>
      <c r="F114" s="12"/>
      <c r="G114" s="9"/>
    </row>
    <row r="115" spans="2:7">
      <c r="B115" s="3" t="s">
        <v>664</v>
      </c>
      <c r="C115" s="17" t="s">
        <v>89</v>
      </c>
      <c r="D115" s="16" t="s">
        <v>671</v>
      </c>
      <c r="F115" s="12"/>
      <c r="G115" s="9"/>
    </row>
    <row r="116" spans="2:7">
      <c r="B116" s="3" t="s">
        <v>664</v>
      </c>
      <c r="C116" s="17" t="s">
        <v>90</v>
      </c>
      <c r="D116" s="16" t="s">
        <v>672</v>
      </c>
      <c r="F116" s="12"/>
      <c r="G116" s="9"/>
    </row>
    <row r="117" spans="2:7">
      <c r="B117" s="3" t="s">
        <v>664</v>
      </c>
      <c r="C117" s="17" t="s">
        <v>673</v>
      </c>
      <c r="D117" s="16" t="s">
        <v>674</v>
      </c>
      <c r="F117" s="12"/>
      <c r="G117" s="10"/>
    </row>
    <row r="118" spans="2:7">
      <c r="B118" s="16" t="s">
        <v>183</v>
      </c>
      <c r="C118" s="17" t="s">
        <v>675</v>
      </c>
      <c r="D118" s="16" t="s">
        <v>676</v>
      </c>
      <c r="F118" s="12"/>
      <c r="G118" s="10"/>
    </row>
    <row r="119" spans="2:7">
      <c r="B119" s="16" t="s">
        <v>677</v>
      </c>
      <c r="C119" s="17" t="s">
        <v>675</v>
      </c>
      <c r="D119" s="16" t="s">
        <v>678</v>
      </c>
      <c r="F119" s="12"/>
      <c r="G119" s="10"/>
    </row>
    <row r="120" spans="2:7" ht="15" hidden="1">
      <c r="B120" s="16" t="s">
        <v>85</v>
      </c>
      <c r="C120" s="17" t="s">
        <v>679</v>
      </c>
      <c r="D120" s="16" t="s">
        <v>680</v>
      </c>
      <c r="F120" s="12"/>
      <c r="G120" s="10"/>
    </row>
    <row r="121" spans="2:7">
      <c r="B121" s="16" t="s">
        <v>677</v>
      </c>
      <c r="C121" s="17" t="s">
        <v>663</v>
      </c>
      <c r="D121" s="16" t="s">
        <v>681</v>
      </c>
      <c r="F121" s="12"/>
      <c r="G121" s="10"/>
    </row>
    <row r="122" spans="2:7">
      <c r="B122" s="16" t="s">
        <v>183</v>
      </c>
      <c r="C122" s="17" t="s">
        <v>210</v>
      </c>
      <c r="D122" s="16" t="s">
        <v>552</v>
      </c>
      <c r="F122" s="12"/>
      <c r="G122" s="10"/>
    </row>
    <row r="123" spans="2:7">
      <c r="B123" s="16" t="s">
        <v>677</v>
      </c>
      <c r="C123" s="17" t="s">
        <v>682</v>
      </c>
      <c r="D123" s="16" t="s">
        <v>683</v>
      </c>
      <c r="F123" s="12"/>
      <c r="G123" s="10"/>
    </row>
    <row r="124" spans="2:7">
      <c r="B124" s="16" t="s">
        <v>677</v>
      </c>
      <c r="C124" s="17" t="s">
        <v>684</v>
      </c>
      <c r="D124" s="16" t="s">
        <v>492</v>
      </c>
      <c r="F124" s="12">
        <v>80</v>
      </c>
      <c r="G124" s="10"/>
    </row>
    <row r="125" spans="2:7">
      <c r="B125" s="16" t="s">
        <v>677</v>
      </c>
      <c r="C125" s="17" t="s">
        <v>685</v>
      </c>
      <c r="D125" s="16" t="s">
        <v>686</v>
      </c>
      <c r="F125" s="12"/>
      <c r="G125" s="10"/>
    </row>
    <row r="126" spans="2:7">
      <c r="B126" s="16" t="s">
        <v>677</v>
      </c>
      <c r="C126" s="17" t="s">
        <v>685</v>
      </c>
      <c r="D126" s="16" t="s">
        <v>687</v>
      </c>
      <c r="F126" s="12"/>
      <c r="G126" s="10"/>
    </row>
    <row r="127" spans="2:7">
      <c r="B127" s="16" t="s">
        <v>677</v>
      </c>
      <c r="C127" s="17" t="s">
        <v>685</v>
      </c>
      <c r="D127" s="16" t="s">
        <v>688</v>
      </c>
      <c r="F127" s="12"/>
      <c r="G127" s="10"/>
    </row>
    <row r="128" spans="2:7" ht="15" hidden="1">
      <c r="B128" s="16" t="s">
        <v>662</v>
      </c>
      <c r="C128" s="17" t="s">
        <v>663</v>
      </c>
      <c r="D128" s="16" t="s">
        <v>689</v>
      </c>
      <c r="F128" s="12"/>
      <c r="G128" s="10"/>
    </row>
    <row r="129" spans="2:7" hidden="1">
      <c r="B129" s="16" t="s">
        <v>662</v>
      </c>
      <c r="C129" s="17" t="s">
        <v>663</v>
      </c>
      <c r="D129" s="16" t="s">
        <v>689</v>
      </c>
      <c r="F129" s="12"/>
      <c r="G129" s="10"/>
    </row>
    <row r="130" spans="2:7" hidden="1">
      <c r="B130" s="3" t="s">
        <v>128</v>
      </c>
      <c r="C130" s="3" t="s">
        <v>690</v>
      </c>
      <c r="D130" s="3" t="s">
        <v>681</v>
      </c>
      <c r="F130" s="12"/>
      <c r="G130" s="10"/>
    </row>
    <row r="131" spans="2:7" hidden="1">
      <c r="B131" s="3" t="s">
        <v>128</v>
      </c>
      <c r="C131" s="3" t="s">
        <v>691</v>
      </c>
      <c r="D131" s="3" t="s">
        <v>692</v>
      </c>
      <c r="F131" s="12"/>
      <c r="G131" s="10"/>
    </row>
    <row r="132" spans="2:7" hidden="1">
      <c r="B132" s="3" t="s">
        <v>128</v>
      </c>
      <c r="C132" s="3" t="s">
        <v>690</v>
      </c>
      <c r="D132" s="3" t="s">
        <v>693</v>
      </c>
      <c r="F132" s="12"/>
      <c r="G132" s="10"/>
    </row>
    <row r="133" spans="2:7" hidden="1">
      <c r="B133" s="3" t="s">
        <v>128</v>
      </c>
      <c r="C133" s="3" t="s">
        <v>694</v>
      </c>
      <c r="D133" s="3" t="s">
        <v>695</v>
      </c>
      <c r="F133" s="12"/>
      <c r="G133" s="10"/>
    </row>
    <row r="134" spans="2:7" hidden="1">
      <c r="B134" s="3" t="s">
        <v>128</v>
      </c>
      <c r="C134" s="3" t="s">
        <v>690</v>
      </c>
      <c r="D134" s="3" t="s">
        <v>696</v>
      </c>
      <c r="F134" s="12"/>
      <c r="G134" s="10"/>
    </row>
    <row r="135" spans="2:7" hidden="1">
      <c r="B135" s="3" t="s">
        <v>128</v>
      </c>
      <c r="C135" s="4" t="s">
        <v>697</v>
      </c>
      <c r="D135" s="3" t="s">
        <v>698</v>
      </c>
      <c r="F135" s="12"/>
      <c r="G135" s="10"/>
    </row>
    <row r="136" spans="2:7" ht="29.1" hidden="1">
      <c r="B136" s="3" t="s">
        <v>128</v>
      </c>
      <c r="C136" s="4" t="s">
        <v>699</v>
      </c>
      <c r="D136" s="3" t="s">
        <v>700</v>
      </c>
      <c r="F136" s="12"/>
      <c r="G136" s="10"/>
    </row>
    <row r="137" spans="2:7" hidden="1">
      <c r="B137" s="3" t="s">
        <v>128</v>
      </c>
      <c r="C137" s="4" t="s">
        <v>701</v>
      </c>
      <c r="D137" s="3" t="s">
        <v>702</v>
      </c>
      <c r="F137" s="12"/>
      <c r="G137" s="10"/>
    </row>
    <row r="138" spans="2:7" hidden="1">
      <c r="B138" s="3" t="s">
        <v>128</v>
      </c>
      <c r="C138" s="3" t="s">
        <v>703</v>
      </c>
      <c r="D138" s="3" t="s">
        <v>704</v>
      </c>
      <c r="F138" s="12"/>
      <c r="G138" s="10"/>
    </row>
    <row r="139" spans="2:7" ht="29.1" hidden="1">
      <c r="B139" s="3" t="s">
        <v>128</v>
      </c>
      <c r="C139" s="4" t="s">
        <v>705</v>
      </c>
      <c r="D139" s="3" t="s">
        <v>706</v>
      </c>
      <c r="F139" s="12"/>
      <c r="G139" s="10"/>
    </row>
    <row r="140" spans="2:7" hidden="1">
      <c r="B140" s="3" t="s">
        <v>128</v>
      </c>
      <c r="C140" s="4" t="s">
        <v>707</v>
      </c>
      <c r="D140" s="3" t="s">
        <v>708</v>
      </c>
      <c r="F140" s="12"/>
      <c r="G140" s="10"/>
    </row>
    <row r="141" spans="2:7" hidden="1">
      <c r="B141" s="3" t="s">
        <v>128</v>
      </c>
      <c r="C141" s="3" t="s">
        <v>709</v>
      </c>
      <c r="D141" s="3" t="s">
        <v>710</v>
      </c>
      <c r="F141" s="12"/>
      <c r="G141" s="10"/>
    </row>
    <row r="142" spans="2:7" hidden="1">
      <c r="B142" s="3" t="s">
        <v>53</v>
      </c>
      <c r="C142" s="3" t="s">
        <v>711</v>
      </c>
      <c r="D142" s="3" t="s">
        <v>665</v>
      </c>
      <c r="F142" s="12"/>
      <c r="G142" s="10"/>
    </row>
    <row r="143" spans="2:7" hidden="1">
      <c r="B143" s="3" t="s">
        <v>53</v>
      </c>
      <c r="C143" s="3" t="s">
        <v>59</v>
      </c>
      <c r="D143" s="3" t="s">
        <v>712</v>
      </c>
      <c r="F143" s="12"/>
      <c r="G143" s="10"/>
    </row>
    <row r="144" spans="2:7" hidden="1">
      <c r="B144" s="3" t="s">
        <v>128</v>
      </c>
      <c r="C144" s="3" t="s">
        <v>713</v>
      </c>
      <c r="D144" s="3" t="s">
        <v>714</v>
      </c>
      <c r="F144" s="12"/>
      <c r="G144" s="10"/>
    </row>
    <row r="145" spans="2:7" hidden="1">
      <c r="B145" s="3" t="s">
        <v>128</v>
      </c>
      <c r="C145" s="3" t="s">
        <v>715</v>
      </c>
      <c r="D145" s="3" t="s">
        <v>714</v>
      </c>
      <c r="F145" s="12"/>
      <c r="G145" s="10"/>
    </row>
    <row r="146" spans="2:7" hidden="1">
      <c r="B146" s="3" t="s">
        <v>128</v>
      </c>
      <c r="C146" s="3" t="s">
        <v>690</v>
      </c>
      <c r="D146" s="3" t="s">
        <v>716</v>
      </c>
      <c r="F146" s="12"/>
      <c r="G146" s="10"/>
    </row>
  </sheetData>
  <autoFilter ref="A1:L146" xr:uid="{8E10893C-DBF9-4DA3-872C-0525E5121CE5}">
    <filterColumn colId="1">
      <filters>
        <filter val="Delhi"/>
        <filter val="Gurgaon"/>
        <filter val="Gurugram"/>
      </filters>
    </filterColumn>
  </autoFilter>
  <pageMargins left="0.7" right="0.7" top="0.75" bottom="0.75" header="0.3" footer="0.3"/>
  <headerFooter>
    <oddFooter>&amp;C_x000D_&amp;1#&amp;"Calibri"&amp;9&amp;K000000 Internal</oddFooter>
  </headerFooter>
</worksheet>
</file>

<file path=docMetadata/LabelInfo.xml><?xml version="1.0" encoding="utf-8"?>
<clbl:labelList xmlns:clbl="http://schemas.microsoft.com/office/2020/mipLabelMetadata">
  <clbl:label id="{f472f14c-d40a-4996-84a9-078c3b8640e0}" enabled="1" method="Standard" siteId="{cd62b7dd-4b48-44bd-90e7-e143a22c8ea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Madhan B</dc:creator>
  <cp:keywords/>
  <dc:description/>
  <cp:lastModifiedBy/>
  <cp:revision/>
  <dcterms:created xsi:type="dcterms:W3CDTF">2026-03-13T12:59:40Z</dcterms:created>
  <dcterms:modified xsi:type="dcterms:W3CDTF">2026-03-20T07:47:58Z</dcterms:modified>
  <cp:category/>
  <cp:contentStatus/>
</cp:coreProperties>
</file>